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b7137fa56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 stock" sheetId="1" r:id="R9e2fe4693613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8434C"/>
      <x:name val="Carlito"/>
    </x:font>
    <x:font>
      <x:b/>
      <x:sz val="11"/>
      <x:color rgb="FFFFFFFF"/>
      <x:name val="Carlito"/>
    </x:font>
    <x:font>
      <x:b/>
      <x:sz val="11"/>
      <x:color rgb="FF0F4C5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2F5"/>
      </x:patternFill>
    </x:fill>
    <x:fill>
      <x:patternFill patternType="solid">
        <x:fgColor rgb="FF167D9A"/>
      </x:patternFill>
    </x:fill>
    <x:fill>
      <x:patternFill patternType="solid">
        <x:fgColor rgb="FFD9EDF3"/>
      </x:patternFill>
    </x:fill>
  </x:fills>
  <x:borders count="11">
    <x:border/>
    <x:border>
      <x:right style="thin">
        <x:color rgb="FFD5E1E5"/>
      </x:right>
      <x:bottom style="thin">
        <x:color rgb="FFD5E1E5"/>
      </x:bottom>
    </x:border>
    <x:border>
      <x:left style="thin">
        <x:color rgb="FFD5E1E5"/>
      </x:left>
      <x:right style="thin">
        <x:color rgb="FFD5E1E5"/>
      </x:right>
      <x:bottom style="thin">
        <x:color rgb="FFD5E1E5"/>
      </x:bottom>
    </x:border>
    <x:border>
      <x:left style="thin">
        <x:color rgb="FFD5E1E5"/>
      </x:left>
      <x:bottom style="thin">
        <x:color rgb="FFD5E1E5"/>
      </x:bottom>
    </x:border>
    <x:border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D5E1E5"/>
      </x:left>
      <x:top style="thin">
        <x:color rgb="FFD5E1E5"/>
      </x:top>
      <x:bottom style="thin">
        <x:color rgb="FFD5E1E5"/>
      </x:bottom>
    </x:border>
    <x:border>
      <x:right style="thin">
        <x:color rgb="FFD5E1E5"/>
      </x:right>
      <x:top style="thin">
        <x:color rgb="FFD5E1E5"/>
      </x:top>
    </x:border>
    <x:border>
      <x:left style="thin">
        <x:color rgb="FFD5E1E5"/>
      </x:left>
      <x:right style="thin">
        <x:color rgb="FFD5E1E5"/>
      </x:right>
      <x:top style="thin">
        <x:color rgb="FFD5E1E5"/>
      </x:top>
    </x:border>
    <x:border>
      <x:left style="thin">
        <x:color rgb="FFD5E1E5"/>
      </x:left>
      <x:top style="thin">
        <x:color rgb="FFD5E1E5"/>
      </x:top>
    </x:border>
    <x:border>
      <x:bottom style="double">
        <x:color rgb="FF0F4C5C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 applyAlignment="1">
      <x:alignment horizontal="right"/>
    </x:xf>
    <x:xf numFmtId="201" fontId="0" fillId="0" borderId="6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 applyAlignment="1">
      <x:alignment horizontal="right"/>
    </x:xf>
    <x:xf numFmtId="201" fontId="0" fillId="0" borderId="9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horizontal="right" wrapText="1"/>
    </x:xf>
    <x:xf numFmtId="201" fontId="0" fillId="0" borderId="3" xfId="0" applyNumberFormat="1" applyFont="1" applyFill="1" applyBorder="1" applyAlignment="1">
      <x:alignment horizontal="right"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horizontal="right" wrapText="1"/>
    </x:xf>
    <x:xf numFmtId="201" fontId="0" fillId="0" borderId="6" xfId="0" applyNumberFormat="1" applyFont="1" applyFill="1" applyBorder="1" applyAlignment="1">
      <x:alignment horizontal="right"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horizontal="right" wrapText="1"/>
    </x:xf>
    <x:xf numFmtId="201" fontId="0" fillId="0" borderId="9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0" xfId="0" applyNumberFormat="1" applyFont="1" applyFill="1" applyBorder="1"/>
    <x:xf numFmtId="201" fontId="4" fillId="5" borderId="10" xfId="0" applyNumberFormat="1" applyFont="1" applyFill="1" applyBorder="1"/>
    <x:xf numFmtId="201" fontId="4" fillId="5" borderId="1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b7d2c6528433f" /><Relationship Type="http://schemas.openxmlformats.org/officeDocument/2006/relationships/theme" Target="/xl/theme/theme1.xml" Id="Rfbef65cc62e94cf6" /><Relationship Type="http://schemas.openxmlformats.org/officeDocument/2006/relationships/sharedStrings" Target="/xl/sharedStrings.xml" Id="Ra70bff625f134b4e" /><Relationship Type="http://schemas.openxmlformats.org/officeDocument/2006/relationships/worksheet" Target="/xl/worksheets/sheet1.xml" Id="R9e2fe46936134527" /></Relationships>
</file>

<file path=xl/tables/table1.xml><?xml version="1.0" encoding="utf-8"?>
<x:table xmlns:x="http://schemas.openxmlformats.org/spreadsheetml/2006/main" id="1" name="ProductosSinStock" displayName="ProductosSinStock" ref="A4:D49" headerRowCount="1" totalsRowCount="0" totalsRowShown="0">
  <x:tableColumns count="4">
    <x:tableColumn id="1" name="CAI"/>
    <x:tableColumn id="2" name="Producto"/>
    <x:tableColumn id="3" name="Unidades vendidas"/>
    <x:tableColumn id="4" name="Stock actu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121412b4114b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4" hidden="0" customWidth="1"/>
    <x:col min="3" max="3" width="18" hidden="0" customWidth="1"/>
    <x:col min="4" max="4" width="18" hidden="0" customWidth="1"/>
  </x:cols>
  <x:sheetData>
    <x:row r="1" ht="28" customHeight="1">
      <x:c r="A1" s="4" t="str">
        <x:v>Productos vendidos sin stock — sin motos</x:v>
      </x:c>
      <x:c r="B1" s="4"/>
      <x:c r="C1" s="4"/>
      <x:c r="D1" s="4"/>
    </x:row>
    <x:row r="2" ht="25" customHeight="1">
      <x:c r="A2" s="9" t="str">
        <x:v>Criterio: ventas mayores a 0, stock igual a 0 y exclusión de referencias de moto.</x:v>
      </x:c>
      <x:c r="B2" s="9"/>
      <x:c r="C2" s="9"/>
      <x:c r="D2" s="9"/>
    </x:row>
    <x:row r="4" ht="15" hidden="0" customHeight="1">
      <x:c r="A4" s="13" t="str">
        <x:v>CAI</x:v>
      </x:c>
      <x:c r="B4" s="13" t="str">
        <x:v>Producto</x:v>
      </x:c>
      <x:c r="C4" s="13" t="str">
        <x:v>Unidades vendidas</x:v>
      </x:c>
      <x:c r="D4" s="13" t="str">
        <x:v>Stock actual</x:v>
      </x:c>
    </x:row>
    <x:row r="5" ht="15" hidden="0" customHeight="1">
      <x:c r="A5" s="29" t="str">
        <x:v>027-MS</x:v>
      </x:c>
      <x:c r="B5" s="30" t="str">
        <x:v>205/55 R16 MASTERSTEEL PROSPORT 91V</x:v>
      </x:c>
      <x:c r="C5" s="31" t="n">
        <x:v>21</x:v>
      </x:c>
      <x:c r="D5" s="32" t="n">
        <x:v>0</x:v>
      </x:c>
    </x:row>
    <x:row r="6" ht="15" hidden="0" customHeight="1">
      <x:c r="A6" s="33" t="str">
        <x:v>001-MS</x:v>
      </x:c>
      <x:c r="B6" s="34" t="str">
        <x:v>165/70 R13 MASTERSTEEL CLUBSPORT 79T</x:v>
      </x:c>
      <x:c r="C6" s="35" t="n">
        <x:v>20</x:v>
      </x:c>
      <x:c r="D6" s="36" t="n">
        <x:v>0</x:v>
      </x:c>
    </x:row>
    <x:row r="7" ht="15" hidden="0" customHeight="1">
      <x:c r="A7" s="33" t="str">
        <x:v>R2430</x:v>
      </x:c>
      <x:c r="B7" s="34" t="str">
        <x:v>185/65 R14 YOKOHAMA BLUEARTH ES32 86H</x:v>
      </x:c>
      <x:c r="C7" s="35" t="n">
        <x:v>12</x:v>
      </x:c>
      <x:c r="D7" s="36" t="n">
        <x:v>0</x:v>
      </x:c>
    </x:row>
    <x:row r="8" ht="15" hidden="0" customHeight="1">
      <x:c r="A8" s="33" t="str">
        <x:v>016-MS</x:v>
      </x:c>
      <x:c r="B8" s="34" t="str">
        <x:v>195/55 R15 MASTERSTEEL PROSPORT 85V</x:v>
      </x:c>
      <x:c r="C8" s="35" t="n">
        <x:v>12</x:v>
      </x:c>
      <x:c r="D8" s="36" t="n">
        <x:v>0</x:v>
      </x:c>
    </x:row>
    <x:row r="9" ht="15" hidden="0" customHeight="1">
      <x:c r="A9" s="33" t="str">
        <x:v>997246</x:v>
      </x:c>
      <x:c r="B9" s="34" t="str">
        <x:v>265/60 R18 MICHELIN LTX TRAIL ST 114H</x:v>
      </x:c>
      <x:c r="C9" s="35" t="n">
        <x:v>12</x:v>
      </x:c>
      <x:c r="D9" s="36" t="n">
        <x:v>0</x:v>
      </x:c>
    </x:row>
    <x:row r="10" ht="15" hidden="0" customHeight="1">
      <x:c r="A10" s="33" t="str">
        <x:v>176638</x:v>
      </x:c>
      <x:c r="B10" s="34" t="str">
        <x:v>185/65 R15 MICHELIN ENERGY XM2+ 88H</x:v>
      </x:c>
      <x:c r="C10" s="35" t="n">
        <x:v>9</x:v>
      </x:c>
      <x:c r="D10" s="36" t="n">
        <x:v>0</x:v>
      </x:c>
    </x:row>
    <x:row r="11" ht="15" hidden="0" customHeight="1">
      <x:c r="A11" s="33" t="str">
        <x:v>779303</x:v>
      </x:c>
      <x:c r="B11" s="34" t="str">
        <x:v>265/60 R18 BFGOODRICH ALL TERRAIN T/A KO3 114/110S</x:v>
      </x:c>
      <x:c r="C11" s="35" t="n">
        <x:v>9</x:v>
      </x:c>
      <x:c r="D11" s="36" t="n">
        <x:v>0</x:v>
      </x:c>
    </x:row>
    <x:row r="12" ht="15" hidden="0" customHeight="1">
      <x:c r="A12" s="33" t="str">
        <x:v>014-MS</x:v>
      </x:c>
      <x:c r="B12" s="34" t="str">
        <x:v>195/45 R16 MASTERSTEEL PROSPORT 84V</x:v>
      </x:c>
      <x:c r="C12" s="35" t="n">
        <x:v>8</x:v>
      </x:c>
      <x:c r="D12" s="36" t="n">
        <x:v>0</x:v>
      </x:c>
    </x:row>
    <x:row r="13" ht="15" hidden="0" customHeight="1">
      <x:c r="A13" s="33" t="str">
        <x:v>443149</x:v>
      </x:c>
      <x:c r="B13" s="34" t="str">
        <x:v>195/55 R16 MICHELIN PRIMACY 4 87V</x:v>
      </x:c>
      <x:c r="C13" s="35" t="n">
        <x:v>7</x:v>
      </x:c>
      <x:c r="D13" s="36" t="n">
        <x:v>0</x:v>
      </x:c>
    </x:row>
    <x:row r="14" ht="15" hidden="0" customHeight="1">
      <x:c r="A14" s="33" t="str">
        <x:v>F17370TPRESZ</x:v>
      </x:c>
      <x:c r="B14" s="34" t="str">
        <x:v>175/70 R13 FATE PRESTIVA 82T</x:v>
      </x:c>
      <x:c r="C14" s="35" t="n">
        <x:v>6</x:v>
      </x:c>
      <x:c r="D14" s="36" t="n">
        <x:v>0</x:v>
      </x:c>
    </x:row>
    <x:row r="15" ht="15" hidden="0" customHeight="1">
      <x:c r="A15" s="33" t="str">
        <x:v>864963</x:v>
      </x:c>
      <x:c r="B15" s="34" t="str">
        <x:v>215/50 R17 MICHELIN PRIMACY 5 95W</x:v>
      </x:c>
      <x:c r="C15" s="35" t="n">
        <x:v>6</x:v>
      </x:c>
      <x:c r="D15" s="36" t="n">
        <x:v>0</x:v>
      </x:c>
    </x:row>
    <x:row r="16" ht="15" hidden="0" customHeight="1">
      <x:c r="A16" s="33" t="str">
        <x:v>R1147</x:v>
      </x:c>
      <x:c r="B16" s="34" t="str">
        <x:v>265/70 R16 YOKOHAMA GEOLANDAR G015 112H</x:v>
      </x:c>
      <x:c r="C16" s="35" t="n">
        <x:v>6</x:v>
      </x:c>
      <x:c r="D16" s="36" t="n">
        <x:v>0</x:v>
      </x:c>
    </x:row>
    <x:row r="17" ht="15" hidden="0" customHeight="1">
      <x:c r="A17" s="33" t="str">
        <x:v>030-MS</x:v>
      </x:c>
      <x:c r="B17" s="34" t="str">
        <x:v>205/65 R15 MASTERSTEEL PROSPORT 94H</x:v>
      </x:c>
      <x:c r="C17" s="35" t="n">
        <x:v>5</x:v>
      </x:c>
      <x:c r="D17" s="36" t="n">
        <x:v>0</x:v>
      </x:c>
    </x:row>
    <x:row r="18" ht="15" hidden="0" customHeight="1">
      <x:c r="A18" s="33" t="str">
        <x:v>298748</x:v>
      </x:c>
      <x:c r="B18" s="34" t="str">
        <x:v>265/70 R17 BFGOODRICH ALL TERRAIN T/A KO3 123/120S</x:v>
      </x:c>
      <x:c r="C18" s="35" t="n">
        <x:v>5</x:v>
      </x:c>
      <x:c r="D18" s="36" t="n">
        <x:v>0</x:v>
      </x:c>
    </x:row>
    <x:row r="19" ht="15" hidden="0" customHeight="1">
      <x:c r="A19" s="33" t="str">
        <x:v>004-MS</x:v>
      </x:c>
      <x:c r="B19" s="34" t="str">
        <x:v>175/65 R14 MASTERSTEEL CLUBSPORT 82T</x:v>
      </x:c>
      <x:c r="C19" s="35" t="n">
        <x:v>4</x:v>
      </x:c>
      <x:c r="D19" s="36" t="n">
        <x:v>0</x:v>
      </x:c>
    </x:row>
    <x:row r="20" ht="15" hidden="0" customHeight="1">
      <x:c r="A20" s="33" t="str">
        <x:v>008-MS</x:v>
      </x:c>
      <x:c r="B20" s="34" t="str">
        <x:v>185/55 R16 MASTERSTEEL PROSPORT 83V</x:v>
      </x:c>
      <x:c r="C20" s="35" t="n">
        <x:v>4</x:v>
      </x:c>
      <x:c r="D20" s="36" t="n">
        <x:v>0</x:v>
      </x:c>
    </x:row>
    <x:row r="21" ht="15" hidden="0" customHeight="1">
      <x:c r="A21" s="33" t="str">
        <x:v>009-MS</x:v>
      </x:c>
      <x:c r="B21" s="34" t="str">
        <x:v>185/60 R14 MASTERSTEEL PROSPORT 82H</x:v>
      </x:c>
      <x:c r="C21" s="35" t="n">
        <x:v>4</x:v>
      </x:c>
      <x:c r="D21" s="36" t="n">
        <x:v>0</x:v>
      </x:c>
    </x:row>
    <x:row r="22" ht="15" hidden="0" customHeight="1">
      <x:c r="A22" s="33" t="str">
        <x:v>012-MS</x:v>
      </x:c>
      <x:c r="B22" s="34" t="str">
        <x:v>185/65 R15 MASTERSTEEL CLUBSPORT 88T</x:v>
      </x:c>
      <x:c r="C22" s="35" t="n">
        <x:v>4</x:v>
      </x:c>
      <x:c r="D22" s="36" t="n">
        <x:v>0</x:v>
      </x:c>
    </x:row>
    <x:row r="23" ht="15" hidden="0" customHeight="1">
      <x:c r="A23" s="33" t="str">
        <x:v>018-MS</x:v>
      </x:c>
      <x:c r="B23" s="34" t="str">
        <x:v>195/60 R15 MASTERSTEEL PROSPORT 88H</x:v>
      </x:c>
      <x:c r="C23" s="35" t="n">
        <x:v>4</x:v>
      </x:c>
      <x:c r="D23" s="36" t="n">
        <x:v>0</x:v>
      </x:c>
    </x:row>
    <x:row r="24" ht="15" hidden="0" customHeight="1">
      <x:c r="A24" s="33" t="str">
        <x:v>12446NXC</x:v>
      </x:c>
      <x:c r="B24" s="34" t="str">
        <x:v>195/65 R15 NEXEN NFERA SU4 91H</x:v>
      </x:c>
      <x:c r="C24" s="35" t="n">
        <x:v>4</x:v>
      </x:c>
      <x:c r="D24" s="36" t="n">
        <x:v>0</x:v>
      </x:c>
    </x:row>
    <x:row r="25" ht="15" hidden="0" customHeight="1">
      <x:c r="A25" s="33" t="str">
        <x:v>020-MS</x:v>
      </x:c>
      <x:c r="B25" s="34" t="str">
        <x:v>195/65 R16C MASTERSTEEL LIGHT TRUCK 104/102T</x:v>
      </x:c>
      <x:c r="C25" s="35" t="n">
        <x:v>4</x:v>
      </x:c>
      <x:c r="D25" s="36" t="n">
        <x:v>0</x:v>
      </x:c>
    </x:row>
    <x:row r="26" ht="15" hidden="0" customHeight="1">
      <x:c r="A26" s="33" t="str">
        <x:v>12422NXC</x:v>
      </x:c>
      <x:c r="B26" s="34" t="str">
        <x:v>205/50 R17 NEXEN NFERA SU4 93W XL</x:v>
      </x:c>
      <x:c r="C26" s="35" t="n">
        <x:v>4</x:v>
      </x:c>
      <x:c r="D26" s="36" t="n">
        <x:v>0</x:v>
      </x:c>
    </x:row>
    <x:row r="27" ht="15" hidden="0" customHeight="1">
      <x:c r="A27" s="33" t="str">
        <x:v>045-MS</x:v>
      </x:c>
      <x:c r="B27" s="34" t="str">
        <x:v>225/45 R17 MASTERSTEEL SUPERSPORT 94W</x:v>
      </x:c>
      <x:c r="C27" s="35" t="n">
        <x:v>4</x:v>
      </x:c>
      <x:c r="D27" s="36" t="n">
        <x:v>0</x:v>
      </x:c>
    </x:row>
    <x:row r="28" ht="15" hidden="0" customHeight="1">
      <x:c r="A28" s="33" t="str">
        <x:v>12410NXC</x:v>
      </x:c>
      <x:c r="B28" s="34" t="str">
        <x:v>225/45 R17 NEXEN NFERA SU4 94W XL</x:v>
      </x:c>
      <x:c r="C28" s="35" t="n">
        <x:v>4</x:v>
      </x:c>
      <x:c r="D28" s="36" t="n">
        <x:v>0</x:v>
      </x:c>
    </x:row>
    <x:row r="29" ht="15" hidden="0" customHeight="1">
      <x:c r="A29" s="33" t="str">
        <x:v>12332NXK</x:v>
      </x:c>
      <x:c r="B29" s="34" t="str">
        <x:v>225/45 R18 NEXEN NFERA SU1 95Y XL</x:v>
      </x:c>
      <x:c r="C29" s="35" t="n">
        <x:v>4</x:v>
      </x:c>
      <x:c r="D29" s="36" t="n">
        <x:v>0</x:v>
      </x:c>
    </x:row>
    <x:row r="30" ht="15" hidden="0" customHeight="1">
      <x:c r="A30" s="33" t="str">
        <x:v>208035</x:v>
      </x:c>
      <x:c r="B30" s="34" t="str">
        <x:v>225/65 R17 MICHELIN LTX FORCE 106H</x:v>
      </x:c>
      <x:c r="C30" s="35" t="n">
        <x:v>4</x:v>
      </x:c>
      <x:c r="D30" s="36" t="n">
        <x:v>0</x:v>
      </x:c>
    </x:row>
    <x:row r="31" ht="15" hidden="0" customHeight="1">
      <x:c r="A31" s="33" t="str">
        <x:v>373670</x:v>
      </x:c>
      <x:c r="B31" s="34" t="str">
        <x:v>235/60 R18 BFGOODRICH TRAIL TERRAIN T/A 107H</x:v>
      </x:c>
      <x:c r="C31" s="35" t="n">
        <x:v>4</x:v>
      </x:c>
      <x:c r="D31" s="36" t="n">
        <x:v>0</x:v>
      </x:c>
    </x:row>
    <x:row r="32" ht="15" hidden="0" customHeight="1">
      <x:c r="A32" s="33" t="str">
        <x:v>946623</x:v>
      </x:c>
      <x:c r="B32" s="34" t="str">
        <x:v>275/65 R18 BFGOODRICH ALL TERRAIN T/A KO3 123/120S</x:v>
      </x:c>
      <x:c r="C32" s="35" t="n">
        <x:v>4</x:v>
      </x:c>
      <x:c r="D32" s="36" t="n">
        <x:v>0</x:v>
      </x:c>
    </x:row>
    <x:row r="33" ht="15" hidden="0" customHeight="1">
      <x:c r="A33" s="33" t="str">
        <x:v>867149</x:v>
      </x:c>
      <x:c r="B33" s="34" t="str">
        <x:v>30X10.00 R14 BFGOODRICH MUD TERRAIN T/A KM3</x:v>
      </x:c>
      <x:c r="C33" s="35" t="n">
        <x:v>4</x:v>
      </x:c>
      <x:c r="D33" s="36" t="n">
        <x:v>0</x:v>
      </x:c>
    </x:row>
    <x:row r="34" ht="15" hidden="0" customHeight="1">
      <x:c r="A34" s="33" t="str">
        <x:v>729186</x:v>
      </x:c>
      <x:c r="B34" s="34" t="str">
        <x:v>32X11.50 R15 BFGOODRICH ALL TERRAIN T/A KO2 113R</x:v>
      </x:c>
      <x:c r="C34" s="35" t="n">
        <x:v>4</x:v>
      </x:c>
      <x:c r="D34" s="36" t="n">
        <x:v>0</x:v>
      </x:c>
    </x:row>
    <x:row r="35" ht="15" hidden="0" customHeight="1">
      <x:c r="A35" s="33" t="str">
        <x:v>033-MS</x:v>
      </x:c>
      <x:c r="B35" s="34" t="str">
        <x:v>215/45 R16 MASTERSTEEL PROSPORT 90V</x:v>
      </x:c>
      <x:c r="C35" s="35" t="n">
        <x:v>3</x:v>
      </x:c>
      <x:c r="D35" s="36" t="n">
        <x:v>0</x:v>
      </x:c>
    </x:row>
    <x:row r="36" ht="15" hidden="0" customHeight="1">
      <x:c r="A36" s="33" t="str">
        <x:v>159270</x:v>
      </x:c>
      <x:c r="B36" s="34" t="str">
        <x:v>265/50 R19 MICHELIN LATITUDE SPORT 3 N0 110Y</x:v>
      </x:c>
      <x:c r="C36" s="35" t="n">
        <x:v>3</x:v>
      </x:c>
      <x:c r="D36" s="36" t="n">
        <x:v>0</x:v>
      </x:c>
    </x:row>
    <x:row r="37" ht="15" hidden="0" customHeight="1">
      <x:c r="A37" s="33" t="str">
        <x:v>22321</x:v>
      </x:c>
      <x:c r="B37" s="34" t="str">
        <x:v>185/65 R15 KUMHO ECOWING ES31 88H</x:v>
      </x:c>
      <x:c r="C37" s="35" t="n">
        <x:v>2</x:v>
      </x:c>
      <x:c r="D37" s="36" t="n">
        <x:v>0</x:v>
      </x:c>
    </x:row>
    <x:row r="38" ht="15" hidden="0" customHeight="1">
      <x:c r="A38" s="33" t="str">
        <x:v>942668</x:v>
      </x:c>
      <x:c r="B38" s="34" t="str">
        <x:v>185/70 R14 BFGOODRICH ADVANTAGE TOURING 88H</x:v>
      </x:c>
      <x:c r="C38" s="35" t="n">
        <x:v>2</x:v>
      </x:c>
      <x:c r="D38" s="36" t="n">
        <x:v>0</x:v>
      </x:c>
    </x:row>
    <x:row r="39" ht="15" hidden="0" customHeight="1">
      <x:c r="A39" s="33" t="str">
        <x:v>F18470TPRESZ</x:v>
      </x:c>
      <x:c r="B39" s="34" t="str">
        <x:v>185/70 R14 FATE PRESTIVA 88T</x:v>
      </x:c>
      <x:c r="C39" s="35" t="n">
        <x:v>2</x:v>
      </x:c>
      <x:c r="D39" s="36" t="n">
        <x:v>0</x:v>
      </x:c>
    </x:row>
    <x:row r="40" ht="15" hidden="0" customHeight="1">
      <x:c r="A40" s="33" t="str">
        <x:v>29104</x:v>
      </x:c>
      <x:c r="B40" s="34" t="str">
        <x:v>205/55 R16 KUMHO ECOWING ES31 91H</x:v>
      </x:c>
      <x:c r="C40" s="35" t="n">
        <x:v>2</x:v>
      </x:c>
      <x:c r="D40" s="36" t="n">
        <x:v>0</x:v>
      </x:c>
    </x:row>
    <x:row r="41" ht="15" hidden="0" customHeight="1">
      <x:c r="A41" s="33" t="str">
        <x:v>R2454</x:v>
      </x:c>
      <x:c r="B41" s="34" t="str">
        <x:v>205/55 R16 YOKOHAMA BLUEARTH ES32 91H</x:v>
      </x:c>
      <x:c r="C41" s="35" t="n">
        <x:v>2</x:v>
      </x:c>
      <x:c r="D41" s="36" t="n">
        <x:v>0</x:v>
      </x:c>
    </x:row>
    <x:row r="42" ht="15" hidden="0" customHeight="1">
      <x:c r="A42" s="33" t="str">
        <x:v>035-MS</x:v>
      </x:c>
      <x:c r="B42" s="34" t="str">
        <x:v>215/50 R17 MASTERSTEEL SUPERSPORT 95W</x:v>
      </x:c>
      <x:c r="C42" s="35" t="n">
        <x:v>2</x:v>
      </x:c>
      <x:c r="D42" s="36" t="n">
        <x:v>0</x:v>
      </x:c>
    </x:row>
    <x:row r="43" ht="15" hidden="0" customHeight="1">
      <x:c r="A43" s="33" t="str">
        <x:v>22832</x:v>
      </x:c>
      <x:c r="B43" s="34" t="str">
        <x:v>215/60 R17 KUMHO HS52 100V</x:v>
      </x:c>
      <x:c r="C43" s="35" t="n">
        <x:v>2</x:v>
      </x:c>
      <x:c r="D43" s="36" t="n">
        <x:v>0</x:v>
      </x:c>
    </x:row>
    <x:row r="44" ht="15" hidden="0" customHeight="1">
      <x:c r="A44" s="33" t="str">
        <x:v>620611</x:v>
      </x:c>
      <x:c r="B44" s="34" t="str">
        <x:v>225/45 R17 MICHELIN PRIMACY 4+ 94W</x:v>
      </x:c>
      <x:c r="C44" s="35" t="n">
        <x:v>2</x:v>
      </x:c>
      <x:c r="D44" s="36" t="n">
        <x:v>0</x:v>
      </x:c>
    </x:row>
    <x:row r="45" ht="15" hidden="0" customHeight="1">
      <x:c r="A45" s="33" t="str">
        <x:v>433460</x:v>
      </x:c>
      <x:c r="B45" s="34" t="str">
        <x:v>295/35 R21 MICHELIN LATITUDE SPORT 3 N1 107Y</x:v>
      </x:c>
      <x:c r="C45" s="35" t="n">
        <x:v>2</x:v>
      </x:c>
      <x:c r="D45" s="36" t="n">
        <x:v>0</x:v>
      </x:c>
    </x:row>
    <x:row r="46" ht="15" hidden="0" customHeight="1">
      <x:c r="A46" s="33" t="str">
        <x:v>021-MS</x:v>
      </x:c>
      <x:c r="B46" s="34" t="str">
        <x:v>195/70 R14 MASTERSTEEL CLUBSPORT 91T</x:v>
      </x:c>
      <x:c r="C46" s="35" t="n">
        <x:v>1</x:v>
      </x:c>
      <x:c r="D46" s="36" t="n">
        <x:v>0</x:v>
      </x:c>
    </x:row>
    <x:row r="47" ht="15" hidden="0" customHeight="1">
      <x:c r="A47" s="33" t="str">
        <x:v>903727</x:v>
      </x:c>
      <x:c r="B47" s="34" t="str">
        <x:v>215/60 R17 MICHELIN PRIMACY 4 96H</x:v>
      </x:c>
      <x:c r="C47" s="35" t="n">
        <x:v>1</x:v>
      </x:c>
      <x:c r="D47" s="36" t="n">
        <x:v>0</x:v>
      </x:c>
    </x:row>
    <x:row r="48" ht="15" hidden="0" customHeight="1">
      <x:c r="A48" s="33" t="str">
        <x:v>504069</x:v>
      </x:c>
      <x:c r="B48" s="34" t="str">
        <x:v>225/45 R18 MICHELIN PILOT SPORT 4 ZP * 95Y</x:v>
      </x:c>
      <x:c r="C48" s="35" t="n">
        <x:v>1</x:v>
      </x:c>
      <x:c r="D48" s="36" t="n">
        <x:v>0</x:v>
      </x:c>
    </x:row>
    <x:row r="49" ht="15" hidden="0" customHeight="1">
      <x:c r="A49" s="37" t="str">
        <x:v>22590</x:v>
      </x:c>
      <x:c r="B49" s="38" t="str">
        <x:v>225/60 R18 KUMHO HP91 104H</x:v>
      </x:c>
      <x:c r="C49" s="39" t="n">
        <x:v>1</x:v>
      </x:c>
      <x:c r="D49" s="40" t="n">
        <x:v>0</x:v>
      </x:c>
    </x:row>
    <x:row r="50"/>
    <x:row r="51" ht="15" hidden="0" customHeight="1">
      <x:c r="A51" s="43" t="str">
        <x:v>Total de unidades vendidas sin stock</x:v>
      </x:c>
      <x:c r="B51" s="43"/>
      <x:c r="C51" s="45" t="n">
        <x:f>SUM(C5:C49)</x:f>
        <x:v>230</x:v>
      </x:c>
      <x:c r="D51" s="45" t="n">
        <x:f>COUNTIF(D5:D49,0)</x:f>
        <x:v>45</x:v>
      </x:c>
    </x:row>
  </x:sheetData>
  <x:mergeCells>
    <x:mergeCell ref="A1:D1"/>
    <x:mergeCell ref="A2:D2"/>
    <x:mergeCell ref="A51:B51"/>
  </x:mergeCells>
  <x:conditionalFormatting sqref="D5:D49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121412b4114bfb"/>
  </x:tableParts>
</x:worksheet>
</file>