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14c4ba1bc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 VTEX" sheetId="1" r:id="Rc49728e685c84d45"/>
    <x:sheet xmlns:r="http://schemas.openxmlformats.org/officeDocument/2006/relationships" name="Resumen" sheetId="2" r:id="R0c4300bfbc03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sz val="9"/>
      <x:color rgb="FF0563C1"/>
      <x:name val="Carlito"/>
    </x:font>
    <x:font>
      <x:b/>
      <x:sz val="14"/>
      <x:color rgb="FF17365D"/>
      <x:name val="Carlito"/>
    </x:font>
    <x:font>
      <x:b/>
      <x:sz val="11"/>
      <x:color rgb="FF7F6000"/>
      <x:name val="Carlito"/>
    </x:font>
    <x:font>
      <x:sz val="11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E2F0D9"/>
      </x:patternFill>
    </x:fill>
    <x:fill>
      <x:patternFill patternType="solid">
        <x:fgColor rgb="FFFFF9E6"/>
      </x:patternFill>
    </x:fill>
    <x:fill>
      <x:patternFill patternType="solid">
        <x:fgColor rgb="FFF28C28"/>
      </x:patternFill>
    </x:fill>
  </x:fills>
  <x:borders count="5">
    <x:border/>
    <x:border>
      <x:bottom style="medium">
        <x:color rgb="FFF28C2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200" fontId="0" fillId="6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6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6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201" fontId="0" fillId="6" borderId="2" xfId="0" applyNumberFormat="1" applyFont="1" applyFill="1" applyBorder="1" applyAlignment="1">
      <x:alignment horizontal="center" vertical="top" wrapText="1"/>
    </x:xf>
    <x:xf numFmtId="201" fontId="0" fillId="0" borderId="3" xfId="0" applyNumberFormat="1" applyFont="1" applyFill="1" applyBorder="1" applyAlignment="1">
      <x:alignment horizontal="center" vertical="top" wrapText="1"/>
    </x:xf>
    <x:xf numFmtId="201" fontId="0" fillId="6" borderId="3" xfId="0" applyNumberFormat="1" applyFont="1" applyFill="1" applyBorder="1" applyAlignment="1">
      <x:alignment horizontal="center" vertical="top" wrapText="1"/>
    </x:xf>
    <x:xf numFmtId="201" fontId="0" fillId="0" borderId="4" xfId="0" applyNumberFormat="1" applyFont="1" applyFill="1" applyBorder="1" applyAlignment="1">
      <x:alignment horizontal="center"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4" xfId="0" applyNumberFormat="1" applyFont="1" applyFill="1" applyBorder="1"/>
    <x:xf numFmtId="0" fontId="7" fillId="6" borderId="2" xfId="0" applyNumberFormat="1" applyFont="1" applyFill="1" applyBorder="1"/>
    <x:xf numFmtId="0" fontId="7" fillId="6" borderId="4" xfId="0" applyNumberFormat="1" applyFont="1" applyFill="1" applyBorder="1"/>
    <x:xf numFmtId="201" fontId="7" fillId="6" borderId="2" xfId="0" applyNumberFormat="1" applyFont="1" applyFill="1" applyBorder="1"/>
    <x:xf numFmtId="201" fontId="7" fillId="6" borderId="4" xfId="0" applyNumberFormat="1" applyFont="1" applyFill="1" applyBorder="1"/>
    <x:xf numFmtId="201" fontId="7" fillId="6" borderId="2" xfId="0" applyNumberFormat="1" applyFont="1" applyFill="1" applyBorder="1" applyAlignment="1">
      <x:alignment horizontal="center"/>
    </x:xf>
    <x:xf numFmtId="201" fontId="7" fillId="6" borderId="4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6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f498363f24f87" /><Relationship Type="http://schemas.openxmlformats.org/officeDocument/2006/relationships/theme" Target="/xl/theme/theme1.xml" Id="R724c3cb5f07e415f" /><Relationship Type="http://schemas.openxmlformats.org/officeDocument/2006/relationships/sharedStrings" Target="/xl/sharedStrings.xml" Id="R56bf09bec48d4cd5" /><Relationship Type="http://schemas.openxmlformats.org/officeDocument/2006/relationships/worksheet" Target="/xl/worksheets/sheet1.xml" Id="Rc49728e685c84d45" /><Relationship Type="http://schemas.openxmlformats.org/officeDocument/2006/relationships/worksheet" Target="/xl/worksheets/sheet2.xml" Id="R0c4300bfbc034f51" /></Relationships>
</file>

<file path=xl/tables/table1.xml><?xml version="1.0" encoding="utf-8"?>
<x:table xmlns:x="http://schemas.openxmlformats.org/spreadsheetml/2006/main" id="1" name="CatalogoNeumaticosVTEX" displayName="CatalogoNeumaticosVTEX" ref="A4:AC10" headerRowCount="1" totalsRowCount="0" totalsRowShown="0">
  <x:autoFilter ref="A4:AC10"/>
  <x:tableColumns count="29">
    <x:tableColumn id="1" name="Estado"/>
    <x:tableColumn id="2" name="Referencia producto"/>
    <x:tableColumn id="3" name="Referencia SKU"/>
    <x:tableColumn id="4" name="Nombre del producto"/>
    <x:tableColumn id="5" name="Nombre del SKU"/>
    <x:tableColumn id="6" name="Marca"/>
    <x:tableColumn id="7" name="Modelo"/>
    <x:tableColumn id="8" name="Categoría VTEX sugerida"/>
    <x:tableColumn id="9" name="Descripción corta"/>
    <x:tableColumn id="10" name="Descripción completa"/>
    <x:tableColumn id="11" name="Meta title"/>
    <x:tableColumn id="12" name="Meta description"/>
    <x:tableColumn id="13" name="Slug sugerido"/>
    <x:tableColumn id="14" name="Unidad de medida"/>
    <x:tableColumn id="15" name="Multiplicador"/>
    <x:tableColumn id="16" name="Ancho (mm)"/>
    <x:tableColumn id="17" name="Perfil"/>
    <x:tableColumn id="18" name="Rodado (pulgadas)"/>
    <x:tableColumn id="19" name="Construcción"/>
    <x:tableColumn id="20" name="Índice de carga"/>
    <x:tableColumn id="21" name="Carga máxima (kg)"/>
    <x:tableColumn id="22" name="Índice de velocidad"/>
    <x:tableColumn id="23" name="Velocidad máxima (km/h)"/>
    <x:tableColumn id="24" name="Refuerzo"/>
    <x:tableColumn id="25" name="Tipo de vehículo"/>
    <x:tableColumn id="26" name="Uso"/>
    <x:tableColumn id="27" name="Marcaciones"/>
    <x:tableColumn id="28" name="Observaciones"/>
    <x:tableColumn id="29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48ae2bbc0a44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43" hidden="0" customWidth="1"/>
    <x:col min="5" max="5" width="39" hidden="0" customWidth="1"/>
    <x:col min="6" max="6" width="13" hidden="0" customWidth="1"/>
    <x:col min="7" max="7" width="22" hidden="0" customWidth="1"/>
    <x:col min="8" max="8" width="42" hidden="0" customWidth="1"/>
    <x:col min="9" max="9" width="48" hidden="0" customWidth="1"/>
    <x:col min="10" max="10" width="74" hidden="0" customWidth="1"/>
    <x:col min="11" max="11" width="48" hidden="0" customWidth="1"/>
    <x:col min="12" max="12" width="62" hidden="0" customWidth="1"/>
    <x:col min="13" max="13" width="53" hidden="0" customWidth="1"/>
    <x:col min="14" max="14" width="14" hidden="0" customWidth="1"/>
    <x:col min="15" max="15" width="13" hidden="0" customWidth="1"/>
    <x:col min="16" max="16" width="12" hidden="0" customWidth="1"/>
    <x:col min="17" max="17" width="12" hidden="0" customWidth="1"/>
    <x:col min="18" max="18" width="18" hidden="0" customWidth="1"/>
    <x:col min="19" max="19" width="15" hidden="0" customWidth="1"/>
    <x:col min="20" max="20" width="16" hidden="0" customWidth="1"/>
    <x:col min="21" max="21" width="16" hidden="0" customWidth="1"/>
    <x:col min="22" max="22" width="18" hidden="0" customWidth="1"/>
    <x:col min="23" max="23" width="17" hidden="0" customWidth="1"/>
    <x:col min="24" max="24" width="18" hidden="0" customWidth="1"/>
    <x:col min="25" max="25" width="27" hidden="0" customWidth="1"/>
    <x:col min="26" max="26" width="24" hidden="0" customWidth="1"/>
    <x:col min="27" max="27" width="22" hidden="0" customWidth="1"/>
    <x:col min="28" max="28" width="52" hidden="0" customWidth="1"/>
    <x:col min="29" max="29" width="64" hidden="0" customWidth="1"/>
  </x:cols>
  <x:sheetData>
    <x:row r="1" ht="30" customHeight="1">
      <x:c r="A1" s="4" t="str">
        <x:v>CATALOGACIÓN DE NEUMÁTICOS PARA VTEX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</x:row>
    <x:row r="2">
      <x:c r="A2" s="7" t="str">
        <x:v>Base maestra de productos y SKU · Saracho Neumáticos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</x:row>
    <x:row r="3">
      <x:c r="A3" s="10" t="str">
        <x:v>Actualizado el 14/08/2026 · R1159 corregido a Yokohama Geolandar A/T G015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</x:row>
    <x:row r="4" ht="38" customHeight="1">
      <x:c r="A4" s="15" t="str">
        <x:v>Estado</x:v>
      </x:c>
      <x:c r="B4" s="15" t="str">
        <x:v>Referencia producto</x:v>
      </x:c>
      <x:c r="C4" s="15" t="str">
        <x:v>Referencia SKU</x:v>
      </x:c>
      <x:c r="D4" s="15" t="str">
        <x:v>Nombre del producto</x:v>
      </x:c>
      <x:c r="E4" s="15" t="str">
        <x:v>Nombre del SKU</x:v>
      </x:c>
      <x:c r="F4" s="15" t="str">
        <x:v>Marca</x:v>
      </x:c>
      <x:c r="G4" s="15" t="str">
        <x:v>Modelo</x:v>
      </x:c>
      <x:c r="H4" s="15" t="str">
        <x:v>Categoría VTEX sugerida</x:v>
      </x:c>
      <x:c r="I4" s="15" t="str">
        <x:v>Descripción corta</x:v>
      </x:c>
      <x:c r="J4" s="15" t="str">
        <x:v>Descripción completa</x:v>
      </x:c>
      <x:c r="K4" s="15" t="str">
        <x:v>Meta title</x:v>
      </x:c>
      <x:c r="L4" s="15" t="str">
        <x:v>Meta description</x:v>
      </x:c>
      <x:c r="M4" s="15" t="str">
        <x:v>Slug sugerido</x:v>
      </x:c>
      <x:c r="N4" s="15" t="str">
        <x:v>Unidad de medida</x:v>
      </x:c>
      <x:c r="O4" s="15" t="str">
        <x:v>Multiplicador</x:v>
      </x:c>
      <x:c r="P4" s="15" t="str">
        <x:v>Ancho (mm)</x:v>
      </x:c>
      <x:c r="Q4" s="15" t="str">
        <x:v>Perfil</x:v>
      </x:c>
      <x:c r="R4" s="15" t="str">
        <x:v>Rodado (pulgadas)</x:v>
      </x:c>
      <x:c r="S4" s="15" t="str">
        <x:v>Construcción</x:v>
      </x:c>
      <x:c r="T4" s="15" t="str">
        <x:v>Índice de carga</x:v>
      </x:c>
      <x:c r="U4" s="15" t="str">
        <x:v>Carga máxima (kg)</x:v>
      </x:c>
      <x:c r="V4" s="15" t="str">
        <x:v>Índice de velocidad</x:v>
      </x:c>
      <x:c r="W4" s="15" t="str">
        <x:v>Velocidad máxima (km/h)</x:v>
      </x:c>
      <x:c r="X4" s="15" t="str">
        <x:v>Refuerzo</x:v>
      </x:c>
      <x:c r="Y4" s="15" t="str">
        <x:v>Tipo de vehículo</x:v>
      </x:c>
      <x:c r="Z4" s="15" t="str">
        <x:v>Uso</x:v>
      </x:c>
      <x:c r="AA4" s="15" t="str">
        <x:v>Marcaciones</x:v>
      </x:c>
      <x:c r="AB4" s="15" t="str">
        <x:v>Observaciones</x:v>
      </x:c>
      <x:c r="AC4" s="15" t="str">
        <x:v>Fuente</x:v>
      </x:c>
    </x:row>
    <x:row r="5" ht="82" customHeight="1">
      <x:c r="A5" s="36" t="str">
        <x:v>Listo para publicar</x:v>
      </x:c>
      <x:c r="B5" s="39" t="str">
        <x:v>17783NXC</x:v>
      </x:c>
      <x:c r="C5" s="39" t="str">
        <x:v>17783NXC</x:v>
      </x:c>
      <x:c r="D5" s="25" t="str">
        <x:v>Neumático Nexen N'Priz GX 195/55 R16 91V XL</x:v>
      </x:c>
      <x:c r="E5" s="25" t="str">
        <x:v>Nexen N'Priz GX 195/55 R16 91V XL</x:v>
      </x:c>
      <x:c r="F5" s="25" t="str">
        <x:v>Nexen</x:v>
      </x:c>
      <x:c r="G5" s="25" t="str">
        <x:v>N'Priz GX</x:v>
      </x:c>
      <x:c r="H5" s="25" t="str">
        <x:v>Neumáticos &gt; Neumáticos para Autos</x:v>
      </x:c>
      <x:c r="I5" s="25" t="str">
        <x:v>Neumático radial Nexen N'Priz GX 195/55 R16 91V XL para vehículos de pasajeros.</x:v>
      </x:c>
      <x:c r="J5" s="25" t="str">
        <x:v>Neumático Nexen N'Priz GX en medida 195/55 R16, desarrollado para vehículos de pasajeros. Cuenta con índice de carga 91, equivalente a 615 kg por neumático, e índice de velocidad V, apto para velocidades de hasta 240 km/h. Su construcción reforzada XL brinda una mayor capacidad de carga.</x:v>
      </x:c>
      <x:c r="K5" s="25" t="str">
        <x:v>Neumático Nexen N'Priz GX 195/55 R16 91V XL</x:v>
      </x:c>
      <x:c r="L5" s="25" t="str">
        <x:v>Comprá el neumático Nexen N'Priz GX 195/55 R16 91V XL para auto. Índice de carga 91 y velocidad V, hasta 240 km/h.</x:v>
      </x:c>
      <x:c r="M5" s="25" t="str">
        <x:v>neumatico-nexen-npriz-gx-195-55-r16-91v-xl</x:v>
      </x:c>
      <x:c r="N5" s="43" t="str">
        <x:v>Unidad</x:v>
      </x:c>
      <x:c r="O5" s="47" t="n">
        <x:v>1</x:v>
      </x:c>
      <x:c r="P5" s="47" t="n">
        <x:v>195</x:v>
      </x:c>
      <x:c r="Q5" s="47" t="n">
        <x:v>55</x:v>
      </x:c>
      <x:c r="R5" s="47" t="n">
        <x:v>16</x:v>
      </x:c>
      <x:c r="S5" s="47" t="str">
        <x:v>Radial</x:v>
      </x:c>
      <x:c r="T5" s="47" t="n">
        <x:v>91</x:v>
      </x:c>
      <x:c r="U5" s="47" t="n">
        <x:v>615</x:v>
      </x:c>
      <x:c r="V5" s="47" t="str">
        <x:v>V</x:v>
      </x:c>
      <x:c r="W5" s="47" t="n">
        <x:v>240</x:v>
      </x:c>
      <x:c r="X5" s="25" t="str">
        <x:v>XL</x:v>
      </x:c>
      <x:c r="Y5" s="25" t="str">
        <x:v>Auto</x:v>
      </x:c>
      <x:c r="Z5" s="25" t="str">
        <x:v>Urbano / Ruta</x:v>
      </x:c>
      <x:c r="AA5" s="25" t="str"/>
      <x:c r="AB5" s="25" t="str">
        <x:v>Validar EAN e imágenes antes de la importación final.</x:v>
      </x:c>
      <x:c r="AC5" s="51" t="str">
        <x:v>https://www.mercadolibre.cl/neumatico-radial-nexen-tire-19555-r16-npriz-gx-indice-carga-91-xl/p/MLC39447992</x:v>
      </x:c>
    </x:row>
    <x:row r="6" ht="82" customHeight="1">
      <x:c r="A6" s="37" t="str">
        <x:v>Listo para publicar</x:v>
      </x:c>
      <x:c r="B6" s="40" t="str">
        <x:v>13245NXC</x:v>
      </x:c>
      <x:c r="C6" s="40" t="str">
        <x:v>13245NXC</x:v>
      </x:c>
      <x:c r="D6" s="23" t="str">
        <x:v>Neumático Nexen N'Priz SH9i 185/65 R15 88H</x:v>
      </x:c>
      <x:c r="E6" s="23" t="str">
        <x:v>Nexen N'Priz SH9i 185/65 R15 88H</x:v>
      </x:c>
      <x:c r="F6" s="23" t="str">
        <x:v>Nexen</x:v>
      </x:c>
      <x:c r="G6" s="23" t="str">
        <x:v>N'Priz SH9i</x:v>
      </x:c>
      <x:c r="H6" s="23" t="str">
        <x:v>Neumáticos &gt; Neumáticos para Autos</x:v>
      </x:c>
      <x:c r="I6" s="23" t="str">
        <x:v>Neumático Nexen N'Priz SH9i 185/65 R15 88H con diseño asimétrico no direccional.</x:v>
      </x:c>
      <x:c r="J6" s="23" t="str">
        <x:v>Neumático Nexen N'Priz SH9i en medida 185/65 R15 para vehículos de pasajeros. Su diseño asimétrico no direccional está orientado a proporcionar robustez, estabilidad y desgaste uniforme. Posee índice de carga 88, equivalente a 560 kg, e índice de velocidad H, de hasta 210 km/h.</x:v>
      </x:c>
      <x:c r="K6" s="23" t="str">
        <x:v>Neumático Nexen N'Priz SH9i 185/65 R15 88H</x:v>
      </x:c>
      <x:c r="L6" s="23" t="str">
        <x:v>Neumático Nexen N'Priz SH9i 185/65 R15 88H para auto. Diseño asimétrico, carga máxima de 560 kg y velocidad de hasta 210 km/h.</x:v>
      </x:c>
      <x:c r="M6" s="23" t="str">
        <x:v>neumatico-nexen-npriz-sh9i-185-65-r15-88h</x:v>
      </x:c>
      <x:c r="N6" s="44" t="str">
        <x:v>Unidad</x:v>
      </x:c>
      <x:c r="O6" s="48" t="n">
        <x:v>1</x:v>
      </x:c>
      <x:c r="P6" s="48" t="n">
        <x:v>185</x:v>
      </x:c>
      <x:c r="Q6" s="48" t="n">
        <x:v>65</x:v>
      </x:c>
      <x:c r="R6" s="48" t="n">
        <x:v>15</x:v>
      </x:c>
      <x:c r="S6" s="48" t="str">
        <x:v>Radial</x:v>
      </x:c>
      <x:c r="T6" s="48" t="n">
        <x:v>88</x:v>
      </x:c>
      <x:c r="U6" s="48" t="n">
        <x:v>560</x:v>
      </x:c>
      <x:c r="V6" s="48" t="str">
        <x:v>H</x:v>
      </x:c>
      <x:c r="W6" s="48" t="n">
        <x:v>210</x:v>
      </x:c>
      <x:c r="X6" s="23" t="str">
        <x:v>Estándar</x:v>
      </x:c>
      <x:c r="Y6" s="23" t="str">
        <x:v>Auto</x:v>
      </x:c>
      <x:c r="Z6" s="23" t="str">
        <x:v>Urbano / Ruta</x:v>
      </x:c>
      <x:c r="AA6" s="23" t="str"/>
      <x:c r="AB6" s="23" t="str">
        <x:v>Validar EAN e imágenes antes de la importación final.</x:v>
      </x:c>
      <x:c r="AC6" s="52" t="str">
        <x:v>https://www.nexentire.com/webzine/201306/en/nexen/nexen_01.html</x:v>
      </x:c>
    </x:row>
    <x:row r="7" ht="82" customHeight="1">
      <x:c r="A7" s="37" t="str">
        <x:v>Listo para publicar</x:v>
      </x:c>
      <x:c r="B7" s="41" t="str">
        <x:v>12489NXC</x:v>
      </x:c>
      <x:c r="C7" s="41" t="str">
        <x:v>12489NXC</x:v>
      </x:c>
      <x:c r="D7" s="26" t="str">
        <x:v>Neumático Nexen N'Fera SU4 185/60 R15 88H XL</x:v>
      </x:c>
      <x:c r="E7" s="26" t="str">
        <x:v>Nexen N'Fera SU4 185/60 R15 88H XL</x:v>
      </x:c>
      <x:c r="F7" s="26" t="str">
        <x:v>Nexen</x:v>
      </x:c>
      <x:c r="G7" s="26" t="str">
        <x:v>N'Fera SU4</x:v>
      </x:c>
      <x:c r="H7" s="26" t="str">
        <x:v>Neumáticos &gt; Neumáticos para Autos</x:v>
      </x:c>
      <x:c r="I7" s="26" t="str">
        <x:v>Neumático de alto desempeño Nexen N'Fera SU4 185/60 R15 88H XL.</x:v>
      </x:c>
      <x:c r="J7" s="26" t="str">
        <x:v>Neumático de alto desempeño Nexen N'Fera SU4 en medida 185/60 R15 88H XL. Su diseño incorpora surcos longitudinales para favorecer el drenaje y nervaduras de alta rigidez orientadas a mejorar la estabilidad. Ofrece un rendimiento equilibrado sobre superficies secas y mojadas.</x:v>
      </x:c>
      <x:c r="K7" s="26" t="str">
        <x:v>Neumático Nexen N'Fera SU4 185/60 R15 88H XL</x:v>
      </x:c>
      <x:c r="L7" s="26" t="str">
        <x:v>Neumático Nexen N'Fera SU4 185/60 R15 88H XL. Alto desempeño, estabilidad y evacuación de agua para superficies secas y mojadas.</x:v>
      </x:c>
      <x:c r="M7" s="26" t="str">
        <x:v>neumatico-nexen-nfera-su4-185-60-r15-88h-xl</x:v>
      </x:c>
      <x:c r="N7" s="45" t="str">
        <x:v>Unidad</x:v>
      </x:c>
      <x:c r="O7" s="49" t="n">
        <x:v>1</x:v>
      </x:c>
      <x:c r="P7" s="49" t="n">
        <x:v>185</x:v>
      </x:c>
      <x:c r="Q7" s="49" t="n">
        <x:v>60</x:v>
      </x:c>
      <x:c r="R7" s="49" t="n">
        <x:v>15</x:v>
      </x:c>
      <x:c r="S7" s="49" t="str">
        <x:v>Radial</x:v>
      </x:c>
      <x:c r="T7" s="49" t="n">
        <x:v>88</x:v>
      </x:c>
      <x:c r="U7" s="49" t="n">
        <x:v>560</x:v>
      </x:c>
      <x:c r="V7" s="49" t="str">
        <x:v>H</x:v>
      </x:c>
      <x:c r="W7" s="49" t="n">
        <x:v>210</x:v>
      </x:c>
      <x:c r="X7" s="26" t="str">
        <x:v>XL</x:v>
      </x:c>
      <x:c r="Y7" s="26" t="str">
        <x:v>Auto</x:v>
      </x:c>
      <x:c r="Z7" s="26" t="str">
        <x:v>Alto desempeño / Ruta</x:v>
      </x:c>
      <x:c r="AA7" s="26" t="str"/>
      <x:c r="AB7" s="26" t="str">
        <x:v>Validar EAN e imágenes antes de la importación final.</x:v>
      </x:c>
      <x:c r="AC7" s="53" t="str">
        <x:v>https://www.nexentire.com/co/product/passenger/nfera-su4.php</x:v>
      </x:c>
    </x:row>
    <x:row r="8" ht="82" customHeight="1">
      <x:c r="A8" s="37" t="str">
        <x:v>Listo para publicar</x:v>
      </x:c>
      <x:c r="B8" s="40" t="str">
        <x:v>975969</x:v>
      </x:c>
      <x:c r="C8" s="40" t="str">
        <x:v>975969</x:v>
      </x:c>
      <x:c r="D8" s="23" t="str">
        <x:v>Neumático Michelin Primacy 5 205/60 R16 92V</x:v>
      </x:c>
      <x:c r="E8" s="23" t="str">
        <x:v>Michelin Primacy 5 205/60 R16 92V</x:v>
      </x:c>
      <x:c r="F8" s="23" t="str">
        <x:v>Michelin</x:v>
      </x:c>
      <x:c r="G8" s="23" t="str">
        <x:v>Primacy 5</x:v>
      </x:c>
      <x:c r="H8" s="23" t="str">
        <x:v>Neumáticos &gt; Neumáticos para Autos</x:v>
      </x:c>
      <x:c r="I8" s="23" t="str">
        <x:v>Neumático Michelin Primacy 5 205/60 R16 92V para autos y SUV.</x:v>
      </x:c>
      <x:c r="J8" s="23" t="str">
        <x:v>Neumático Michelin Primacy 5 en medida 205/60 R16 92V, diseñado para autos y SUV. Combina seguridad en piso mojado, confort y larga duración para el uso cotidiano y los viajes. Soporta hasta 630 kg por neumático y velocidades de hasta 240 km/h.</x:v>
      </x:c>
      <x:c r="K8" s="23" t="str">
        <x:v>Neumático Michelin Primacy 5 205/60 R16 92V</x:v>
      </x:c>
      <x:c r="L8" s="23" t="str">
        <x:v>Neumático Michelin Primacy 5 205/60 R16 92V para auto y SUV. Seguridad en mojado, confort y larga duración para el uso diario.</x:v>
      </x:c>
      <x:c r="M8" s="23" t="str">
        <x:v>neumatico-michelin-primacy-5-205-60-r16-92v</x:v>
      </x:c>
      <x:c r="N8" s="44" t="str">
        <x:v>Unidad</x:v>
      </x:c>
      <x:c r="O8" s="48" t="n">
        <x:v>1</x:v>
      </x:c>
      <x:c r="P8" s="48" t="n">
        <x:v>205</x:v>
      </x:c>
      <x:c r="Q8" s="48" t="n">
        <x:v>60</x:v>
      </x:c>
      <x:c r="R8" s="48" t="n">
        <x:v>16</x:v>
      </x:c>
      <x:c r="S8" s="48" t="str">
        <x:v>Radial</x:v>
      </x:c>
      <x:c r="T8" s="48" t="n">
        <x:v>92</x:v>
      </x:c>
      <x:c r="U8" s="48" t="n">
        <x:v>630</x:v>
      </x:c>
      <x:c r="V8" s="48" t="str">
        <x:v>V</x:v>
      </x:c>
      <x:c r="W8" s="48" t="n">
        <x:v>240</x:v>
      </x:c>
      <x:c r="X8" s="23" t="str">
        <x:v>Estándar</x:v>
      </x:c>
      <x:c r="Y8" s="23" t="str">
        <x:v>Auto / SUV</x:v>
      </x:c>
      <x:c r="Z8" s="23" t="str">
        <x:v>Urbano / Ruta</x:v>
      </x:c>
      <x:c r="AA8" s="23" t="str"/>
      <x:c r="AB8" s="23" t="str">
        <x:v>EAN informado por la fuente: 3528709759694. Validar imágenes.</x:v>
      </x:c>
      <x:c r="AC8" s="52" t="str">
        <x:v>https://eprel.ec.europa.eu/fiches/tyres/Fiche_2161716_EN.pdf</x:v>
      </x:c>
    </x:row>
    <x:row r="9" ht="82" customHeight="1">
      <x:c r="A9" s="37" t="str">
        <x:v>Listo para publicar</x:v>
      </x:c>
      <x:c r="B9" s="41" t="str">
        <x:v>R1159</x:v>
      </x:c>
      <x:c r="C9" s="41" t="str">
        <x:v>R1159</x:v>
      </x:c>
      <x:c r="D9" s="26" t="str">
        <x:v>Neumático Yokohama Geolandar A/T G015 255/70 R16 111H</x:v>
      </x:c>
      <x:c r="E9" s="26" t="str">
        <x:v>Yokohama Geolandar A/T G015 255/70 R16 111H</x:v>
      </x:c>
      <x:c r="F9" s="26" t="str">
        <x:v>Yokohama</x:v>
      </x:c>
      <x:c r="G9" s="26" t="str">
        <x:v>Geolandar A/T G015</x:v>
      </x:c>
      <x:c r="H9" s="26" t="str">
        <x:v>Neumáticos &gt; Neumáticos para Camionetas y SUV</x:v>
      </x:c>
      <x:c r="I9" s="26" t="str">
        <x:v>Neumático All Terrain Yokohama Geolandar A/T G015 255/70 R16 111H para SUV y 4x4.</x:v>
      </x:c>
      <x:c r="J9" s="26" t="str">
        <x:v>Neumático Yokohama Geolandar A/T G015 en medida 255/70 R16 111H, desarrollado para camionetas, SUV y vehículos 4x4. Su diseño All Terrain ofrece un desempeño equilibrado para circular tanto en ruta como fuera del asfalto. Cuenta con marcaciones M+S y 3PMSF, índice de carga 111, de hasta 1.090 kg por neumático, e índice de velocidad H, de hasta 210 km/h.</x:v>
      </x:c>
      <x:c r="K9" s="26" t="str">
        <x:v>Neumático Yokohama Geolandar A/T G015 255/70 R16</x:v>
      </x:c>
      <x:c r="L9" s="26" t="str">
        <x:v>Neumático Yokohama Geolandar A/T G015 255/70 R16 111H para SUV y 4x4. Diseño All Terrain con marcaciones M+S y 3PMSF.</x:v>
      </x:c>
      <x:c r="M9" s="26" t="str">
        <x:v>neumatico-yokohama-geolandar-at-g015-255-70-r16-111h</x:v>
      </x:c>
      <x:c r="N9" s="45" t="str">
        <x:v>Unidad</x:v>
      </x:c>
      <x:c r="O9" s="49" t="n">
        <x:v>1</x:v>
      </x:c>
      <x:c r="P9" s="49" t="n">
        <x:v>255</x:v>
      </x:c>
      <x:c r="Q9" s="49" t="n">
        <x:v>70</x:v>
      </x:c>
      <x:c r="R9" s="49" t="n">
        <x:v>16</x:v>
      </x:c>
      <x:c r="S9" s="49" t="str">
        <x:v>Radial</x:v>
      </x:c>
      <x:c r="T9" s="49" t="n">
        <x:v>111</x:v>
      </x:c>
      <x:c r="U9" s="49" t="n">
        <x:v>1090</x:v>
      </x:c>
      <x:c r="V9" s="49" t="str">
        <x:v>H</x:v>
      </x:c>
      <x:c r="W9" s="49" t="n">
        <x:v>210</x:v>
      </x:c>
      <x:c r="X9" s="26" t="str">
        <x:v>Estándar</x:v>
      </x:c>
      <x:c r="Y9" s="26" t="str">
        <x:v>Camioneta / SUV / 4x4</x:v>
      </x:c>
      <x:c r="Z9" s="26" t="str">
        <x:v>All Terrain</x:v>
      </x:c>
      <x:c r="AA9" s="26" t="str">
        <x:v>M+S / 3PMSF</x:v>
      </x:c>
      <x:c r="AB9" s="26" t="str">
        <x:v>Modelo corregido de G018 a G015 según revisión del cliente y referencia oficial R1159.</x:v>
      </x:c>
      <x:c r="AC9" s="53" t="str">
        <x:v>https://www.yokohama.eu/tyre-finder/G015</x:v>
      </x:c>
    </x:row>
    <x:row r="10" ht="82" customHeight="1">
      <x:c r="A10" s="38" t="str">
        <x:v>Listo para publicar</x:v>
      </x:c>
      <x:c r="B10" s="42" t="str">
        <x:v>R2419</x:v>
      </x:c>
      <x:c r="C10" s="42" t="str">
        <x:v>R2419</x:v>
      </x:c>
      <x:c r="D10" s="24" t="str">
        <x:v>Neumático Yokohama BluEarth-Es ES32 175/65 R15 84H</x:v>
      </x:c>
      <x:c r="E10" s="24" t="str">
        <x:v>Yokohama BluEarth-Es ES32 175/65 R15 84H</x:v>
      </x:c>
      <x:c r="F10" s="24" t="str">
        <x:v>Yokohama</x:v>
      </x:c>
      <x:c r="G10" s="24" t="str">
        <x:v>BluEarth-Es ES32</x:v>
      </x:c>
      <x:c r="H10" s="24" t="str">
        <x:v>Neumáticos &gt; Neumáticos para Autos</x:v>
      </x:c>
      <x:c r="I10" s="24" t="str">
        <x:v>Neumático Yokohama BluEarth-Es ES32 175/65 R15 84H para vehículos de pasajeros.</x:v>
      </x:c>
      <x:c r="J10" s="24" t="str">
        <x:v>Neumático Yokohama BluEarth-Es ES32 en medida 175/65 R15 84H para vehículos de pasajeros. Su diseño está orientado al ahorro de combustible, el confort y la durabilidad, con canales que favorecen la evacuación del agua y ayudan a mantener la estabilidad en piso mojado.</x:v>
      </x:c>
      <x:c r="K10" s="24" t="str">
        <x:v>Neumático Yokohama BluEarth-Es ES32 175/65 R15 84H</x:v>
      </x:c>
      <x:c r="L10" s="24" t="str">
        <x:v>Neumático Yokohama BluEarth-Es ES32 175/65 R15 84H. Confort, durabilidad y evacuación de agua para el uso cotidiano.</x:v>
      </x:c>
      <x:c r="M10" s="24" t="str">
        <x:v>neumatico-yokohama-bluearth-es32-175-65-r15-84h</x:v>
      </x:c>
      <x:c r="N10" s="46" t="str">
        <x:v>Unidad</x:v>
      </x:c>
      <x:c r="O10" s="50" t="n">
        <x:v>1</x:v>
      </x:c>
      <x:c r="P10" s="50" t="n">
        <x:v>175</x:v>
      </x:c>
      <x:c r="Q10" s="50" t="n">
        <x:v>65</x:v>
      </x:c>
      <x:c r="R10" s="50" t="n">
        <x:v>15</x:v>
      </x:c>
      <x:c r="S10" s="50" t="str">
        <x:v>Radial</x:v>
      </x:c>
      <x:c r="T10" s="50" t="n">
        <x:v>84</x:v>
      </x:c>
      <x:c r="U10" s="50" t="n">
        <x:v>500</x:v>
      </x:c>
      <x:c r="V10" s="50" t="str">
        <x:v>H</x:v>
      </x:c>
      <x:c r="W10" s="50" t="n">
        <x:v>210</x:v>
      </x:c>
      <x:c r="X10" s="24" t="str">
        <x:v>Estándar</x:v>
      </x:c>
      <x:c r="Y10" s="24" t="str">
        <x:v>Auto</x:v>
      </x:c>
      <x:c r="Z10" s="24" t="str">
        <x:v>Urbano / Ruta</x:v>
      </x:c>
      <x:c r="AA10" s="24" t="str"/>
      <x:c r="AB10" s="24" t="str">
        <x:v>EAN informado por la fuente: 4968814925147. Validar imágenes.</x:v>
      </x:c>
      <x:c r="AC10" s="54" t="str">
        <x:v>https://www.y-yokohama.com/global/product/tire/tires/passenger/bluearth_es32/</x:v>
      </x:c>
    </x:row>
  </x:sheetData>
  <x:mergeCells>
    <x:mergeCell ref="A1:AC1"/>
    <x:mergeCell ref="A2:AC2"/>
    <x:mergeCell ref="A3:AC3"/>
  </x:mergeCells>
  <x:pageMargins left="0.7" right="0.7" top="0.75" bottom="0.75" header="0.3" footer="0.3"/>
  <x:tableParts count="1">
    <x:tablePart xmlns:r="http://schemas.openxmlformats.org/officeDocument/2006/relationships" r:id="R5d48ae2bbc0a449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RESUMEN DE ENTREGA</x:v>
      </x:c>
      <x:c r="B1" s="4"/>
      <x:c r="C1" s="4"/>
      <x:c r="D1" s="4"/>
      <x:c r="E1" s="4"/>
      <x:c r="F1" s="4"/>
      <x:c r="G1" s="4"/>
      <x:c r="H1" s="4"/>
    </x:row>
    <x:row r="2">
      <x:c r="A2" s="7" t="str">
        <x:v>Catalogación base para VTEX · Neumáticos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Indicador</x:v>
      </x:c>
      <x:c r="B4" s="13" t="str">
        <x:v>Resultado</x:v>
      </x:c>
    </x:row>
    <x:row r="5">
      <x:c r="A5" s="56" t="str">
        <x:v>Productos catalogados</x:v>
      </x:c>
      <x:c r="B5" s="62" t="n">
        <x:f>COUNTA('Catálogo VTEX'!B5:B10)</x:f>
        <x:v>6</x:v>
      </x:c>
    </x:row>
    <x:row r="6">
      <x:c r="A6" s="57" t="str">
        <x:v>Listos para publicar</x:v>
      </x:c>
      <x:c r="B6" s="63" t="n">
        <x:f>COUNTIF('Catálogo VTEX'!A5:A10,"Listo para publicar")</x:f>
        <x:v>6</x:v>
      </x:c>
    </x:row>
    <x:row r="8">
      <x:c r="A8" s="64" t="str">
        <x:v>CORRECCIÓN APLICADA</x:v>
      </x:c>
      <x:c r="B8" s="64"/>
      <x:c r="C8" s="64"/>
      <x:c r="D8" s="64"/>
      <x:c r="E8" s="64"/>
      <x:c r="F8" s="64"/>
      <x:c r="G8" s="64"/>
      <x:c r="H8" s="64"/>
    </x:row>
    <x:row r="9" ht="28" customHeight="1">
      <x:c r="A9" s="68" t="str">
        <x:v>La referencia R1159 quedó catalogada como Yokohama Geolandar A/T G015 255/70 R16 111H. Se reemplazó el modelo G018 informado inicialmente.</x:v>
      </x:c>
      <x:c r="B9" s="68"/>
      <x:c r="C9" s="68"/>
      <x:c r="D9" s="68"/>
      <x:c r="E9" s="68"/>
      <x:c r="F9" s="68"/>
      <x:c r="G9" s="68"/>
      <x:c r="H9" s="68"/>
    </x:row>
    <x:row r="10" ht="28" customHeight="1">
      <x:c r="A10" s="68"/>
      <x:c r="B10" s="68"/>
      <x:c r="C10" s="68"/>
      <x:c r="D10" s="68"/>
      <x:c r="E10" s="68"/>
      <x:c r="F10" s="68"/>
      <x:c r="G10" s="68"/>
      <x:c r="H10" s="68"/>
    </x:row>
    <x:row r="12">
      <x:c r="A12" s="6" t="str">
        <x:v>DATOS A COMPLETAR ANTES DE LA IMPORTACIÓN</x:v>
      </x:c>
      <x:c r="B12" s="6"/>
      <x:c r="C12" s="6"/>
      <x:c r="D12" s="6"/>
      <x:c r="E12" s="6"/>
      <x:c r="F12" s="6"/>
      <x:c r="G12" s="6"/>
      <x:c r="H12" s="6"/>
    </x:row>
    <x:row r="13">
      <x:c r="A13" s="71" t="str">
        <x:v>1</x:v>
      </x:c>
      <x:c r="B13" s="56" t="str">
        <x:v>EAN de los productos pendientes</x:v>
      </x:c>
      <x:c r="C13" s="56"/>
      <x:c r="D13" s="56"/>
      <x:c r="E13" s="56"/>
      <x:c r="F13" s="56"/>
      <x:c r="G13" s="56"/>
      <x:c r="H13" s="56"/>
    </x:row>
    <x:row r="14">
      <x:c r="A14" s="71" t="str">
        <x:v>2</x:v>
      </x:c>
      <x:c r="B14" s="72" t="str">
        <x:v>Imágenes principales y secundarias</x:v>
      </x:c>
      <x:c r="C14" s="72"/>
      <x:c r="D14" s="72"/>
      <x:c r="E14" s="72"/>
      <x:c r="F14" s="72"/>
      <x:c r="G14" s="72"/>
      <x:c r="H14" s="72"/>
    </x:row>
    <x:row r="15">
      <x:c r="A15" s="71" t="str">
        <x:v>3</x:v>
      </x:c>
      <x:c r="B15" s="72" t="str">
        <x:v>Precio, stock, seller y política comercial</x:v>
      </x:c>
      <x:c r="C15" s="72"/>
      <x:c r="D15" s="72"/>
      <x:c r="E15" s="72"/>
      <x:c r="F15" s="72"/>
      <x:c r="G15" s="72"/>
      <x:c r="H15" s="72"/>
    </x:row>
    <x:row r="16">
      <x:c r="A16" s="71" t="str">
        <x:v>4</x:v>
      </x:c>
      <x:c r="B16" s="57" t="str">
        <x:v>ID definitivo de categoría y marca en la cuenta VTEX</x:v>
      </x:c>
      <x:c r="C16" s="57"/>
      <x:c r="D16" s="57"/>
      <x:c r="E16" s="57"/>
      <x:c r="F16" s="57"/>
      <x:c r="G16" s="57"/>
      <x:c r="H16" s="57"/>
    </x:row>
  </x:sheetData>
  <x:mergeCells>
    <x:mergeCell ref="A1:H1"/>
    <x:mergeCell ref="A2:H2"/>
    <x:mergeCell ref="A8:H8"/>
    <x:mergeCell ref="A9:H10"/>
    <x:mergeCell ref="A12:H12"/>
    <x:mergeCell ref="B13:H13"/>
    <x:mergeCell ref="B14:H14"/>
    <x:mergeCell ref="B15:H15"/>
    <x:mergeCell ref="B16:H16"/>
  </x:mergeCells>
  <x:pageMargins left="0.7" right="0.7" top="0.75" bottom="0.75" header="0.3" footer="0.3"/>
</x:worksheet>
</file>