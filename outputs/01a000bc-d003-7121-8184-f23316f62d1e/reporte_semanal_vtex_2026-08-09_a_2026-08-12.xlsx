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d9bfc48e9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Ventas" sheetId="1" r:id="R853c30686e9f4a3a"/>
    <x:sheet xmlns:r="http://schemas.openxmlformats.org/officeDocument/2006/relationships" name="Datos Ventas" sheetId="2" r:id="R9758c6152e384589"/>
    <x:sheet xmlns:r="http://schemas.openxmlformats.org/officeDocument/2006/relationships" name="Productos vendidos" sheetId="3" r:id="Rb2cda53df50a4e34"/>
    <x:sheet xmlns:r="http://schemas.openxmlformats.org/officeDocument/2006/relationships" name="Servicios y extras" sheetId="4" r:id="R0c01cecc08b44f3b"/>
    <x:sheet xmlns:r="http://schemas.openxmlformats.org/officeDocument/2006/relationships" name="Análisis ejecutivo" sheetId="5" r:id="Rfcbe0658b8444671"/>
    <x:sheet xmlns:r="http://schemas.openxmlformats.org/officeDocument/2006/relationships" name="Controles" sheetId="6" r:id="Rb1583b7e2d10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&quot;$&quot;#,##0.00"/>
    <x:numFmt numFmtId="202" formatCode="0.0%"/>
    <x:numFmt numFmtId="203" formatCode="0"/>
    <x:numFmt numFmtId="204" formatCode="&quot;$&quot;#,##0"/>
  </x:numFmts>
  <x:fonts count="1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0"/>
      <x:color rgb="FF17365D"/>
      <x:name val="Carlito"/>
    </x:font>
    <x:font>
      <x:b/>
      <x:sz val="17"/>
      <x:color rgb="FF17365D"/>
      <x:name val="Carlito"/>
    </x:font>
    <x:font>
      <x:b/>
      <x:sz val="12"/>
      <x:color rgb="FF17365D"/>
      <x:name val="Carlito"/>
    </x:font>
    <x:font>
      <x:b/>
      <x:sz val="15"/>
      <x:color rgb="FFF28C28"/>
      <x:name val="Carlito"/>
    </x:font>
    <x:font>
      <x:b/>
      <x:sz val="14"/>
      <x:color rgb="FFFFFFFF"/>
      <x:name val="Carlito"/>
    </x:font>
    <x:font>
      <x:sz val="11"/>
      <x:color rgb="FF17365D"/>
      <x:name val="Carlito"/>
    </x:font>
    <x:font>
      <x:sz val="10"/>
      <x:color rgb="FF595959"/>
      <x:name val="Carlito"/>
    </x:font>
    <x:font>
      <x:sz val="11"/>
      <x:color rgb="FF595959"/>
      <x:name val="Carlito"/>
    </x:font>
    <x:font>
      <x:b/>
      <x:sz val="13"/>
      <x:color rgb="FFFFFFFF"/>
      <x:name val="Carlito"/>
    </x:font>
    <x:font>
      <x:b/>
      <x:sz val="15"/>
      <x:color rgb="FF17365D"/>
      <x:name val="Carlito"/>
    </x:font>
    <x:font>
      <x:sz val="10"/>
      <x:color rgb="FF17365D"/>
      <x:name val="Carlito"/>
    </x:font>
    <x:font>
      <x:b/>
      <x:sz val="18"/>
      <x:color rgb="FF70AD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EF5FB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8C28"/>
      </x:patternFill>
    </x:fill>
    <x:fill>
      <x:patternFill patternType="solid">
        <x:fgColor rgb="FFF2F2F2"/>
      </x:patternFill>
    </x:fill>
  </x:fills>
  <x:borders count="2">
    <x:border/>
    <x:border>
      <x:top style="medium">
        <x:color rgb="FFF28C28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203" fontId="4" fillId="6" borderId="0" xfId="0" applyNumberFormat="1" applyFont="1" applyFill="1" applyBorder="1"/>
    <x:xf numFmtId="203" fontId="4" fillId="6" borderId="0" xfId="0" applyNumberFormat="1" applyFont="1" applyFill="1" applyBorder="1" applyAlignment="1">
      <x:alignment horizontal="center"/>
    </x:xf>
    <x:xf numFmtId="203" fontId="4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/>
    <x:xf numFmtId="201" fontId="4" fillId="7" borderId="0" xfId="0" applyNumberFormat="1" applyFont="1" applyFill="1" applyBorder="1"/>
    <x:xf numFmtId="201" fontId="4" fillId="7" borderId="0" xfId="0" applyNumberFormat="1" applyFont="1" applyFill="1" applyBorder="1" applyAlignment="1">
      <x:alignment horizontal="center"/>
    </x:xf>
    <x:xf numFmtId="201" fontId="4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left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horizont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horizontal="center"/>
    </x:xf>
    <x:xf numFmtId="0" fontId="14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70AD47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08956206d4fd2" /><Relationship Type="http://schemas.openxmlformats.org/officeDocument/2006/relationships/theme" Target="/xl/theme/theme1.xml" Id="Ree37b4abab1f4d3d" /><Relationship Type="http://schemas.openxmlformats.org/officeDocument/2006/relationships/sharedStrings" Target="/xl/sharedStrings.xml" Id="Rea54ebb7416441cf" /><Relationship Type="http://schemas.openxmlformats.org/officeDocument/2006/relationships/worksheet" Target="/xl/worksheets/sheet1.xml" Id="R853c30686e9f4a3a" /><Relationship Type="http://schemas.openxmlformats.org/officeDocument/2006/relationships/worksheet" Target="/xl/worksheets/sheet2.xml" Id="R9758c6152e384589" /><Relationship Type="http://schemas.openxmlformats.org/officeDocument/2006/relationships/worksheet" Target="/xl/worksheets/sheet3.xml" Id="Rb2cda53df50a4e34" /><Relationship Type="http://schemas.openxmlformats.org/officeDocument/2006/relationships/worksheet" Target="/xl/worksheets/sheet4.xml" Id="R0c01cecc08b44f3b" /><Relationship Type="http://schemas.openxmlformats.org/officeDocument/2006/relationships/worksheet" Target="/xl/worksheets/sheet5.xml" Id="Rfcbe0658b8444671" /><Relationship Type="http://schemas.openxmlformats.org/officeDocument/2006/relationships/worksheet" Target="/xl/worksheets/sheet6.xml" Id="Rb1583b7e2d104e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15ad2ff231455b" /><Relationship Type="http://schemas.openxmlformats.org/officeDocument/2006/relationships/chart" Target="/xl/drawings/charts/chart2.xml" Id="R8cb56cce8d7249cd" /><Relationship Type="http://schemas.openxmlformats.org/officeDocument/2006/relationships/chart" Target="/xl/drawings/charts/chart3.xml" Id="R5c90f412c7854977" /><Relationship Type="http://schemas.openxmlformats.org/officeDocument/2006/relationships/chart" Target="/xl/drawings/charts/chart4.xml" Id="Rfa388769642342ab" /><Relationship Type="http://schemas.openxmlformats.org/officeDocument/2006/relationships/chart" Target="/xl/drawings/charts/chart5.xml" Id="Rdd3805e33fdf4f34" /><Relationship Type="http://schemas.openxmlformats.org/officeDocument/2006/relationships/chart" Target="/xl/drawings/charts/chart6.xml" Id="Rc6a42221230442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Evolución diaria de facturación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Facturación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'Dashboard Ventas'!$R$3:$R$6</c:f>
              <c:strCache>
                <c:ptCount val="0"/>
              </c:strCache>
            </c:strRef>
          </c:cat>
          <c:val>
            <c:numRef>
              <c:f>'Dashboard Ventas'!$S$3:$S$6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Ranking por marca · selector activo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Valor seleccionado</c:v>
          </c:tx>
          <c:spPr>
            <a:solidFill xmlns:a="http://schemas.openxmlformats.org/drawingml/2006/main">
              <a:srgbClr val="F28C28"/>
            </a:solidFill>
          </c:spPr>
          <c:cat>
            <c:strRef>
              <c:f>'Dashboard Ventas'!$AO$3:$AO$7</c:f>
              <c:strCache>
                <c:ptCount val="0"/>
              </c:strCache>
            </c:strRef>
          </c:cat>
          <c:val>
            <c:numRef>
              <c:f>'Dashboard Ventas'!$AP$3:$AP$7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Facturación por promoción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Facturación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'Dashboard Ventas'!$AC$3:$AC$6</c:f>
              <c:strCache>
                <c:ptCount val="0"/>
              </c:strCache>
            </c:strRef>
          </c:cat>
          <c:val>
            <c:numRef>
              <c:f>'Dashboard Ventas'!$AD$3:$AD$6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Participación por tipo de envío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doughnutChart>
        <c:ser>
          <c:idx val="0"/>
          <c:order val="0"/>
          <c:tx>
            <c:v>Facturación</c:v>
          </c:tx>
          <c:cat>
            <c:strRef>
              <c:f>'Dashboard Ventas'!$AF$3:$AF$5</c:f>
              <c:strCache>
                <c:ptCount val="0"/>
              </c:strCache>
            </c:strRef>
          </c:cat>
          <c:val>
            <c:numRef>
              <c:f>'Dashboard Ventas'!$AG$3:$AG$5</c:f>
              <c:numCache>
                <c:formatCode>"$"#,##0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Facturación por medio de pago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pieChart>
        <c:ser>
          <c:idx val="0"/>
          <c:order val="0"/>
          <c:tx>
            <c:v>Facturación</c:v>
          </c:tx>
          <c:cat>
            <c:strRef>
              <c:f>'Dashboard Ventas'!$AI$3:$AI$6</c:f>
              <c:strCache>
                <c:ptCount val="0"/>
              </c:strCache>
            </c:strRef>
          </c:cat>
          <c:val>
            <c:numRef>
              <c:f>'Dashboard Ventas'!$AJ$3:$AJ$6</c:f>
              <c:numCache>
                <c:formatCode>"$"#,##0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Unidades por producto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Unidades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'Dashboard Ventas'!$AL$3:$AL$8</c:f>
              <c:strCache>
                <c:ptCount val="0"/>
              </c:strCache>
            </c:strRef>
          </c:cat>
          <c:val>
            <c:numRef>
              <c:f>'Dashboard Ventas'!$AM$3:$AM$8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15ad2ff231455b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b56cce8d7249cd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90f412c7854977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16</xdr:col>
      <xdr:colOff>0</xdr:colOff>
      <xdr:row>51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388769642342ab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8</xdr:col>
      <xdr:colOff>0</xdr:colOff>
      <xdr:row>71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3805e33fdf4f34"/>
        </a:graphicData>
      </a:graphic>
    </xdr:graphicFrame>
    <xdr:clientData/>
  </xdr:twoCellAnchor>
  <xdr:twoCellAnchor>
    <xdr:from>
      <xdr:col>8</xdr:col>
      <xdr:colOff>0</xdr:colOff>
      <xdr:row>52</xdr:row>
      <xdr:rowOff>0</xdr:rowOff>
    </xdr:from>
    <xdr:to>
      <xdr:col>16</xdr:col>
      <xdr:colOff>0</xdr:colOff>
      <xdr:row>71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a42221230442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Ventas" displayName="TablaVentas" ref="A1:M8" headerRowCount="1" totalsRowCount="0" totalsRowShown="0">
  <x:tableColumns count="13">
    <x:tableColumn id="1" name="Fecha"/>
    <x:tableColumn id="2" name="Facturación"/>
    <x:tableColumn id="3" name="Marca"/>
    <x:tableColumn id="4" name="Medida"/>
    <x:tableColumn id="5" name="Unidades"/>
    <x:tableColumn id="6" name="Tipo de envío"/>
    <x:tableColumn id="7" name="Promo"/>
    <x:tableColumn id="8" name="Método de pago"/>
    <x:tableColumn id="9" name="Observaciones"/>
    <x:tableColumn id="10" name="Precio medio unitario"/>
    <x:tableColumn id="11" name="Tipo de registro"/>
    <x:tableColumn id="12" name="Producto clave"/>
    <x:tableColumn id="13" name="Dí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Productos" displayName="TablaProductos" ref="A1:J7" headerRowCount="1" totalsRowCount="0" totalsRowShown="0">
  <x:tableColumns count="10">
    <x:tableColumn id="1" name="Marca"/>
    <x:tableColumn id="2" name="Medida"/>
    <x:tableColumn id="3" name="Facturación"/>
    <x:tableColumn id="4" name="Unidades"/>
    <x:tableColumn id="5" name="Operaciones"/>
    <x:tableColumn id="6" name="Precio medio/unidad"/>
    <x:tableColumn id="7" name="Participación"/>
    <x:tableColumn id="8" name="Ticket por operación"/>
    <x:tableColumn id="9" name="Tipo"/>
    <x:tableColumn id="10" name="Cla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2c9abb850549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138c74a56f43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47d14f5dc5431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0" customHeight="1">
      <x:c r="A1" s="10" t="str">
        <x:v>REPORTE SEMANAL VTEX · VENTAS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</x:row>
    <x:row r="2" ht="20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R2" t="str">
        <x:v>Fecha</x:v>
      </x:c>
      <x:c r="S2" t="str">
        <x:v>Facturación</x:v>
      </x:c>
      <x:c r="T2" t="str">
        <x:v>Unidades</x:v>
      </x:c>
      <x:c r="U2" t="str">
        <x:v>Operaciones</x:v>
      </x:c>
      <x:c r="W2" t="str">
        <x:v>Marca</x:v>
      </x:c>
      <x:c r="X2" t="str">
        <x:v>Facturación</x:v>
      </x:c>
      <x:c r="Y2" t="str">
        <x:v>Unidades</x:v>
      </x:c>
      <x:c r="Z2" t="str">
        <x:v>Operaciones</x:v>
      </x:c>
      <x:c r="AA2" t="str">
        <x:v>Valor seleccionado</x:v>
      </x:c>
      <x:c r="AC2" t="str">
        <x:v>Promo</x:v>
      </x:c>
      <x:c r="AD2" t="str">
        <x:v>Facturación</x:v>
      </x:c>
      <x:c r="AF2" t="str">
        <x:v>Envío</x:v>
      </x:c>
      <x:c r="AG2" t="str">
        <x:v>Facturación</x:v>
      </x:c>
      <x:c r="AI2" t="str">
        <x:v>Pago</x:v>
      </x:c>
      <x:c r="AJ2" t="str">
        <x:v>Facturación</x:v>
      </x:c>
      <x:c r="AL2" t="str">
        <x:v>Producto</x:v>
      </x:c>
      <x:c r="AM2" t="str">
        <x:v>Unidades</x:v>
      </x:c>
      <x:c r="AO2" t="str">
        <x:v>Marca</x:v>
      </x:c>
      <x:c r="AP2" t="str">
        <x:v>Valor seleccionado</x:v>
      </x:c>
    </x:row>
    <x:row r="3" ht="20" customHeight="1">
      <x:c r="A3" s="14" t="str">
        <x:v>Período disponible: 09/08 al 12/08/2026 · Datos cargados hasta el 12/08 (4 días, no una semana calendario completa)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R3" t="str">
        <x:v>09/08</x:v>
      </x:c>
      <x:c r="S3" s="49" t="n">
        <x:v>358454.4</x:v>
      </x:c>
      <x:c r="T3" t="n">
        <x:v>4</x:v>
      </x:c>
      <x:c r="U3" t="n">
        <x:v>1</x:v>
      </x:c>
      <x:c r="W3" t="str">
        <x:v>Maxtrek</x:v>
      </x:c>
      <x:c r="X3" t="n">
        <x:v>1454810.94</x:v>
      </x:c>
      <x:c r="Y3" t="n">
        <x:v>4</x:v>
      </x:c>
      <x:c r="Z3" t="n">
        <x:v>1</x:v>
      </x:c>
      <x:c r="AA3" t="n">
        <x:f>IF($M$11="Facturación",X3,IF($M$11="Unidades",Y3,Z3))</x:f>
        <x:v>1454810.94</x:v>
      </x:c>
      <x:c r="AC3" t="str">
        <x:v>Sin promo</x:v>
      </x:c>
      <x:c r="AD3" t="n">
        <x:v>1454810.94</x:v>
      </x:c>
      <x:c r="AF3" t="str">
        <x:v>CDS</x:v>
      </x:c>
      <x:c r="AG3" t="n">
        <x:v>3106697.91</x:v>
      </x:c>
      <x:c r="AI3" t="str">
        <x:v>3 cuotas</x:v>
      </x:c>
      <x:c r="AJ3" t="n">
        <x:v>1600777.2000000002</x:v>
      </x:c>
      <x:c r="AL3" t="str">
        <x:v>Maxtrek 245/65 R17</x:v>
      </x:c>
      <x:c r="AM3" t="n">
        <x:v>4</x:v>
      </x:c>
      <x:c r="AO3" t="str">
        <x:v>Maxtrek</x:v>
      </x:c>
      <x:c r="AP3" t="n">
        <x:f>AA3</x:f>
        <x:v>1454810.94</x:v>
      </x:c>
    </x:row>
    <x:row r="4" ht="20" customHeight="1">
      <x:c r="R4" t="str">
        <x:v>10/08</x:v>
      </x:c>
      <x:c r="S4" s="49" t="n">
        <x:v>1723530.94</x:v>
      </x:c>
      <x:c r="T4" t="n">
        <x:v>6</x:v>
      </x:c>
      <x:c r="U4" t="n">
        <x:v>2</x:v>
      </x:c>
      <x:c r="W4" t="str">
        <x:v>Michelin</x:v>
      </x:c>
      <x:c r="X4" t="n">
        <x:v>839242.8</x:v>
      </x:c>
      <x:c r="Y4" t="n">
        <x:v>4</x:v>
      </x:c>
      <x:c r="Z4" t="n">
        <x:v>1</x:v>
      </x:c>
      <x:c r="AA4" t="n">
        <x:f>IF($M$11="Facturación",X4,IF($M$11="Unidades",Y4,Z4))</x:f>
        <x:v>839242.8</x:v>
      </x:c>
      <x:c r="AC4" t="str">
        <x:v>10% off</x:v>
      </x:c>
      <x:c r="AD4" t="n">
        <x:v>1133287.2000000002</x:v>
      </x:c>
      <x:c r="AF4" t="str">
        <x:v>Retiro en sucursal</x:v>
      </x:c>
      <x:c r="AG4" t="n">
        <x:v>921218.8</x:v>
      </x:c>
      <x:c r="AI4" t="str">
        <x:v>12 cuotas</x:v>
      </x:c>
      <x:c r="AJ4" t="n">
        <x:v>1454810.94</x:v>
      </x:c>
      <x:c r="AL4" t="str">
        <x:v>Michelin 185/65 R15</x:v>
      </x:c>
      <x:c r="AM4" t="n">
        <x:v>4</x:v>
      </x:c>
      <x:c r="AO4" t="str">
        <x:v>Michelin</x:v>
      </x:c>
      <x:c r="AP4" t="n">
        <x:f>AA4</x:f>
        <x:v>839242.8</x:v>
      </x:c>
    </x:row>
    <x:row r="5" ht="20" customHeight="1">
      <x:c r="A5" s="19" t="str">
        <x:v>FACTURACIÓN</x:v>
      </x:c>
      <x:c r="B5" s="19"/>
      <x:c r="C5" s="19"/>
      <x:c r="D5" s="28" t="str">
        <x:v>UNIDADES</x:v>
      </x:c>
      <x:c r="E5" s="28"/>
      <x:c r="F5" s="28"/>
      <x:c r="G5" s="28" t="str">
        <x:v>OPERACIONES</x:v>
      </x:c>
      <x:c r="H5" s="28"/>
      <x:c r="I5" s="28"/>
      <x:c r="J5" s="37" t="str">
        <x:v>TICKET PROMEDIO</x:v>
      </x:c>
      <x:c r="K5" s="37"/>
      <x:c r="L5" s="37"/>
      <x:c r="M5" s="37" t="str">
        <x:v>VALOR MEDIO / UNIDAD</x:v>
      </x:c>
      <x:c r="N5" s="37"/>
      <x:c r="O5" s="37"/>
      <x:c r="P5" s="37"/>
      <x:c r="R5" t="str">
        <x:v>11/08</x:v>
      </x:c>
      <x:c r="S5" s="49" t="n">
        <x:v>947004.17</x:v>
      </x:c>
      <x:c r="T5" t="n">
        <x:v>5</x:v>
      </x:c>
      <x:c r="U5" t="n">
        <x:v>2</x:v>
      </x:c>
      <x:c r="W5" t="str">
        <x:v>Yokohama</x:v>
      </x:c>
      <x:c r="X5" t="n">
        <x:v>812644.17</x:v>
      </x:c>
      <x:c r="Y5" t="n">
        <x:v>4</x:v>
      </x:c>
      <x:c r="Z5" t="n">
        <x:v>1</x:v>
      </x:c>
      <x:c r="AA5" t="n">
        <x:f>IF($M$11="Facturación",X5,IF($M$11="Unidades",Y5,Z5))</x:f>
        <x:v>812644.17</x:v>
      </x:c>
      <x:c r="AC5" t="str">
        <x:v>4x3</x:v>
      </x:c>
      <x:c r="AD5" t="n">
        <x:v>812644.17</x:v>
      </x:c>
      <x:c r="AF5" t="str">
        <x:v>Flota Propia</x:v>
      </x:c>
      <x:c r="AG5" t="n">
        <x:v>134360</x:v>
      </x:c>
      <x:c r="AI5" t="str">
        <x:v>6 cuotas</x:v>
      </x:c>
      <x:c r="AJ5" t="n">
        <x:v>812644.17</x:v>
      </x:c>
      <x:c r="AL5" t="str">
        <x:v>Yokohama 205/55 R16</x:v>
      </x:c>
      <x:c r="AM5" t="n">
        <x:v>4</x:v>
      </x:c>
      <x:c r="AO5" t="str">
        <x:v>Yokohama</x:v>
      </x:c>
      <x:c r="AP5" t="n">
        <x:f>AA5</x:f>
        <x:v>812644.17</x:v>
      </x:c>
    </x:row>
    <x:row r="6" ht="20" customHeight="1">
      <x:c r="A6" s="23" t="n">
        <x:f>SUM('Datos Ventas'!B2:B8)</x:f>
        <x:v>4162276.71</x:v>
      </x:c>
      <x:c r="B6" s="23"/>
      <x:c r="C6" s="23"/>
      <x:c r="D6" s="32" t="n">
        <x:f>SUM('Datos Ventas'!E2:E8)</x:f>
        <x:v>23</x:v>
      </x:c>
      <x:c r="E6" s="32"/>
      <x:c r="F6" s="32"/>
      <x:c r="G6" s="32" t="n">
        <x:f>COUNTA('Datos Ventas'!A2:A8)</x:f>
        <x:v>7</x:v>
      </x:c>
      <x:c r="H6" s="32"/>
      <x:c r="I6" s="32"/>
      <x:c r="J6" s="41" t="n">
        <x:f>AVERAGE('Datos Ventas'!B2:B8)</x:f>
        <x:v>594610.9585714285</x:v>
      </x:c>
      <x:c r="K6" s="41"/>
      <x:c r="L6" s="41"/>
      <x:c r="M6" s="41" t="n">
        <x:f>SUM('Datos Ventas'!B2:B8)/SUM('Datos Ventas'!E2:E8)</x:f>
        <x:v>180968.55260869564</x:v>
      </x:c>
      <x:c r="N6" s="41"/>
      <x:c r="O6" s="41"/>
      <x:c r="P6" s="41"/>
      <x:c r="R6" t="str">
        <x:v>12/08</x:v>
      </x:c>
      <x:c r="S6" s="49" t="n">
        <x:v>1133287.2000000002</x:v>
      </x:c>
      <x:c r="T6" t="n">
        <x:v>8</x:v>
      </x:c>
      <x:c r="U6" t="n">
        <x:v>2</x:v>
      </x:c>
      <x:c r="W6" t="str">
        <x:v>Nexen</x:v>
      </x:c>
      <x:c r="X6" t="n">
        <x:v>761534.4</x:v>
      </x:c>
      <x:c r="Y6" t="n">
        <x:v>7</x:v>
      </x:c>
      <x:c r="Z6" t="n">
        <x:v>3</x:v>
      </x:c>
      <x:c r="AA6" t="n">
        <x:f>IF($M$11="Facturación",X6,IF($M$11="Unidades",Y6,Z6))</x:f>
        <x:v>761534.4</x:v>
      </x:c>
      <x:c r="AC6" t="str">
        <x:v>20% off</x:v>
      </x:c>
      <x:c r="AD6" t="n">
        <x:v>761534.4</x:v>
      </x:c>
      <x:c r="AI6" t="str">
        <x:v>Transferencia</x:v>
      </x:c>
      <x:c r="AJ6" t="n">
        <x:v>294044.4</x:v>
      </x:c>
      <x:c r="AL6" t="str">
        <x:v>Nexen 225/45 R17</x:v>
      </x:c>
      <x:c r="AM6" t="n">
        <x:v>3</x:v>
      </x:c>
      <x:c r="AO6" t="str">
        <x:v>Nexen</x:v>
      </x:c>
      <x:c r="AP6" t="n">
        <x:f>AA6</x:f>
        <x:v>761534.4</x:v>
      </x:c>
    </x:row>
    <x:row r="7" ht="20" customHeight="1">
      <x:c r="A7" s="23"/>
      <x:c r="B7" s="23"/>
      <x:c r="C7" s="23"/>
      <x:c r="D7" s="32"/>
      <x:c r="E7" s="32"/>
      <x:c r="F7" s="32"/>
      <x:c r="G7" s="32"/>
      <x:c r="H7" s="32"/>
      <x:c r="I7" s="32"/>
      <x:c r="J7" s="41"/>
      <x:c r="K7" s="41"/>
      <x:c r="L7" s="41"/>
      <x:c r="M7" s="41"/>
      <x:c r="N7" s="41"/>
      <x:c r="O7" s="41"/>
      <x:c r="P7" s="41"/>
      <x:c r="W7" t="str">
        <x:v>Fate</x:v>
      </x:c>
      <x:c r="X7" t="n">
        <x:v>294044.4</x:v>
      </x:c>
      <x:c r="Y7" t="n">
        <x:v>4</x:v>
      </x:c>
      <x:c r="Z7" t="n">
        <x:v>1</x:v>
      </x:c>
      <x:c r="AA7" t="n">
        <x:f>IF($M$11="Facturación",X7,IF($M$11="Unidades",Y7,Z7))</x:f>
        <x:v>294044.4</x:v>
      </x:c>
      <x:c r="AL7" t="str">
        <x:v>Nexen 185/60 R14</x:v>
      </x:c>
      <x:c r="AM7" t="n">
        <x:v>4</x:v>
      </x:c>
      <x:c r="AO7" t="str">
        <x:v>Fate</x:v>
      </x:c>
      <x:c r="AP7" t="n">
        <x:f>AA7</x:f>
        <x:v>294044.4</x:v>
      </x:c>
    </x:row>
    <x:row r="8" ht="20" customHeight="1">
      <x:c r="A8" s="23"/>
      <x:c r="B8" s="23"/>
      <x:c r="C8" s="23"/>
      <x:c r="D8" s="32"/>
      <x:c r="E8" s="32"/>
      <x:c r="F8" s="32"/>
      <x:c r="G8" s="32"/>
      <x:c r="H8" s="32"/>
      <x:c r="I8" s="32"/>
      <x:c r="J8" s="41"/>
      <x:c r="K8" s="41"/>
      <x:c r="L8" s="41"/>
      <x:c r="M8" s="41"/>
      <x:c r="N8" s="41"/>
      <x:c r="O8" s="41"/>
      <x:c r="P8" s="41"/>
      <x:c r="AL8" t="str">
        <x:v>Fate 175/70 R13</x:v>
      </x:c>
      <x:c r="AM8" t="n">
        <x:v>4</x:v>
      </x:c>
    </x:row>
    <x:row r="9" ht="20" customHeight="1"/>
    <x:row r="10" ht="20" customHeight="1">
      <x:c r="M10" s="3" t="str">
        <x:v>MÉTRICA DEL GRÁFICO POR MARCA</x:v>
      </x:c>
      <x:c r="N10" s="3"/>
      <x:c r="O10" s="3"/>
      <x:c r="P10" s="48" t="str">
        <x:v>▼</x:v>
      </x:c>
    </x:row>
    <x:row r="11" ht="20" customHeight="1">
      <x:c r="M11" s="45" t="str">
        <x:v>Facturación</x:v>
      </x:c>
      <x:c r="N11" s="45"/>
      <x:c r="O11" s="45"/>
      <x:c r="P11" s="48"/>
    </x:row>
    <x:row r="12" ht="20" customHeight="1">
      <x:c r="M12" s="45"/>
      <x:c r="N12" s="45"/>
      <x:c r="O12" s="45"/>
      <x:c r="P12" s="48"/>
    </x:row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>
      <x:c r="A74" s="52" t="str">
        <x:v>LECTURA RÁPIDA</x:v>
      </x:c>
      <x:c r="B74" s="52"/>
      <x:c r="C74" s="52"/>
      <x:c r="D74" s="52"/>
      <x:c r="E74" s="52"/>
      <x:c r="F74" s="52"/>
      <x:c r="G74" s="52"/>
      <x:c r="H74" s="52"/>
      <x:c r="I74" s="52"/>
      <x:c r="J74" s="52"/>
      <x:c r="K74" s="52"/>
      <x:c r="L74" s="52"/>
      <x:c r="M74" s="52"/>
      <x:c r="N74" s="52"/>
      <x:c r="O74" s="52"/>
      <x:c r="P74" s="52"/>
    </x:row>
    <x:row r="75" ht="20" customHeight="1">
      <x:c r="A75" s="52"/>
      <x:c r="B75" s="52"/>
      <x:c r="C75" s="52"/>
      <x:c r="D75" s="52"/>
      <x:c r="E75" s="52"/>
      <x:c r="F75" s="52"/>
      <x:c r="G75" s="52"/>
      <x:c r="H75" s="52"/>
      <x:c r="I75" s="52"/>
      <x:c r="J75" s="52"/>
      <x:c r="K75" s="52"/>
      <x:c r="L75" s="52"/>
      <x:c r="M75" s="52"/>
      <x:c r="N75" s="52"/>
      <x:c r="O75" s="52"/>
      <x:c r="P75" s="52"/>
    </x:row>
    <x:row r="76" ht="20" customHeight="1">
      <x:c r="A76" s="56" t="str">
        <x:f>"Se facturaron "&amp;TEXT(SUM('Datos Ventas'!B2:B8),"$ #,##0.00")&amp;" en "&amp;COUNTA('Datos Ventas'!A2:A8)&amp;" operaciones y "&amp;SUM('Datos Ventas'!E2:E8)&amp;" unidades. La marca líder fue "&amp;INDEX(W3:W7,MATCH(MAX(X3:X7),X3:X7,0))&amp;" y el mayor ticket individual correspondió a Maxtrek 245/65 R17."</x:f>
        <x:v>Se facturaron $ 4,162,276.71 en 7 operaciones y 23 unidades. La marca líder fue Maxtrek y el mayor ticket individual correspondió a Maxtrek 245/65 R17.</x:v>
      </x:c>
      <x:c r="B76" s="56"/>
      <x:c r="C76" s="56"/>
      <x:c r="D76" s="56"/>
      <x:c r="E76" s="56"/>
      <x:c r="F76" s="56"/>
      <x:c r="G76" s="56"/>
      <x:c r="H76" s="56"/>
      <x:c r="I76" s="56"/>
      <x:c r="J76" s="56"/>
      <x:c r="K76" s="56"/>
      <x:c r="L76" s="56"/>
      <x:c r="M76" s="56"/>
      <x:c r="N76" s="56"/>
      <x:c r="O76" s="56"/>
      <x:c r="P76" s="56"/>
    </x:row>
    <x:row r="77" ht="20" customHeight="1">
      <x:c r="A77" s="56"/>
      <x:c r="B77" s="56"/>
      <x:c r="C77" s="56"/>
      <x:c r="D77" s="56"/>
      <x:c r="E77" s="56"/>
      <x:c r="F77" s="56"/>
      <x:c r="G77" s="56"/>
      <x:c r="H77" s="56"/>
      <x:c r="I77" s="56"/>
      <x:c r="J77" s="56"/>
      <x:c r="K77" s="56"/>
      <x:c r="L77" s="56"/>
      <x:c r="M77" s="56"/>
      <x:c r="N77" s="56"/>
      <x:c r="O77" s="56"/>
      <x:c r="P77" s="56"/>
    </x:row>
    <x:row r="78" ht="20" customHeight="1">
      <x:c r="A78" s="56"/>
      <x:c r="B78" s="56"/>
      <x:c r="C78" s="56"/>
      <x:c r="D78" s="56"/>
      <x:c r="E78" s="56"/>
      <x:c r="F78" s="56"/>
      <x:c r="G78" s="56"/>
      <x:c r="H78" s="56"/>
      <x:c r="I78" s="56"/>
      <x:c r="J78" s="56"/>
      <x:c r="K78" s="56"/>
      <x:c r="L78" s="56"/>
      <x:c r="M78" s="56"/>
      <x:c r="N78" s="56"/>
      <x:c r="O78" s="56"/>
      <x:c r="P78" s="56"/>
    </x:row>
    <x:row r="79" ht="20" customHeight="1">
      <x:c r="A79" s="56"/>
      <x:c r="B79" s="56"/>
      <x:c r="C79" s="56"/>
      <x:c r="D79" s="56"/>
      <x:c r="E79" s="56"/>
      <x:c r="F79" s="56"/>
      <x:c r="G79" s="56"/>
      <x:c r="H79" s="56"/>
      <x:c r="I79" s="56"/>
      <x:c r="J79" s="56"/>
      <x:c r="K79" s="56"/>
      <x:c r="L79" s="56"/>
      <x:c r="M79" s="56"/>
      <x:c r="N79" s="56"/>
      <x:c r="O79" s="56"/>
      <x:c r="P79" s="56"/>
    </x:row>
    <x:row r="80" ht="20" customHeight="1">
      <x:c r="A80" s="56"/>
      <x:c r="B80" s="56"/>
      <x:c r="C80" s="56"/>
      <x:c r="D80" s="56"/>
      <x:c r="E80" s="56"/>
      <x:c r="F80" s="56"/>
      <x:c r="G80" s="56"/>
      <x:c r="H80" s="56"/>
      <x:c r="I80" s="56"/>
      <x:c r="J80" s="56"/>
      <x:c r="K80" s="56"/>
      <x:c r="L80" s="56"/>
      <x:c r="M80" s="56"/>
      <x:c r="N80" s="56"/>
      <x:c r="O80" s="56"/>
      <x:c r="P80" s="56"/>
    </x:row>
    <x:row r="81" ht="20" customHeight="1"/>
    <x:row r="82" ht="20" customHeight="1">
      <x:c r="A82" s="59" t="str">
        <x:v>Cobertura del origen: el archivo adjunto contiene únicamente la hoja Ventas. Por eso este informe no incorpora métricas de búsquedas, CTR ni conversión interna. Tampoco se registraron servicios, combos o productos adicionales en Observaciones.</x:v>
      </x:c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</x:row>
    <x:row r="83" ht="20" customHeight="1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</x:row>
    <x:row r="84" ht="20" customHeight="1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</x:row>
    <x:row r="85" ht="20" customHeight="1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</x:row>
    <x:row r="86" ht="20" customHeight="1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</x:row>
  </x:sheetData>
  <x:mergeCells>
    <x:mergeCell ref="A1:P2"/>
    <x:mergeCell ref="A3:P3"/>
    <x:mergeCell ref="A5:C5"/>
    <x:mergeCell ref="A6:C8"/>
    <x:mergeCell ref="D5:F5"/>
    <x:mergeCell ref="D6:F8"/>
    <x:mergeCell ref="G5:I5"/>
    <x:mergeCell ref="G6:I8"/>
    <x:mergeCell ref="J5:L5"/>
    <x:mergeCell ref="J6:L8"/>
    <x:mergeCell ref="M5:P5"/>
    <x:mergeCell ref="M6:P8"/>
    <x:mergeCell ref="M10:O10"/>
    <x:mergeCell ref="M11:O12"/>
    <x:mergeCell ref="A74:P75"/>
    <x:mergeCell ref="A76:P80"/>
    <x:mergeCell ref="A82:P86"/>
  </x:mergeCells>
  <x:dataValidations count="1">
    <x:dataValidation type="list" sqref="M11:O12">
      <x:formula1>"Facturación,Unidades,Operaciones"</x:formula1>
    </x:dataValidation>
  </x:dataValidations>
  <x:pageMargins left="0.7" right="0.7" top="0.75" bottom="0.75" header="0.3" footer="0.3"/>
  <x:drawing xmlns:r="http://schemas.openxmlformats.org/officeDocument/2006/relationships" r:id="Rfd2c9abb850549fb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5" hidden="0" customWidth="1"/>
    <x:col min="4" max="4" width="15" hidden="0" customWidth="1"/>
    <x:col min="5" max="5" width="11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3" t="str">
        <x:v>Fecha</x:v>
      </x:c>
      <x:c r="B1" s="3" t="str">
        <x:v>Facturación</x:v>
      </x:c>
      <x:c r="C1" s="3" t="str">
        <x:v>Marca</x:v>
      </x:c>
      <x:c r="D1" s="3" t="str">
        <x:v>Medida</x:v>
      </x:c>
      <x:c r="E1" s="3" t="str">
        <x:v>Unidades</x:v>
      </x:c>
      <x:c r="F1" s="3" t="str">
        <x:v>Tipo de envío</x:v>
      </x:c>
      <x:c r="G1" s="3" t="str">
        <x:v>Promo</x:v>
      </x:c>
      <x:c r="H1" s="3" t="str">
        <x:v>Método de pago</x:v>
      </x:c>
      <x:c r="I1" s="3" t="str">
        <x:v>Observaciones</x:v>
      </x:c>
      <x:c r="J1" s="3" t="str">
        <x:v>Precio medio unitario</x:v>
      </x:c>
      <x:c r="K1" s="3" t="str">
        <x:v>Tipo de registro</x:v>
      </x:c>
      <x:c r="L1" s="3" t="str">
        <x:v>Producto clave</x:v>
      </x:c>
      <x:c r="M1" s="3" t="str">
        <x:v>Día</x:v>
      </x:c>
    </x:row>
    <x:row r="2">
      <x:c r="A2" s="4" t="n">
        <x:v>46243</x:v>
      </x:c>
      <x:c r="B2" s="5" t="n">
        <x:v>358454.4</x:v>
      </x:c>
      <x:c r="C2" t="str">
        <x:v>Nexen</x:v>
      </x:c>
      <x:c r="D2" t="str">
        <x:v>185/60 R14</x:v>
      </x:c>
      <x:c r="E2" t="n">
        <x:v>4</x:v>
      </x:c>
      <x:c r="F2" t="str">
        <x:v>Retiro en sucursal</x:v>
      </x:c>
      <x:c r="G2" t="str">
        <x:v>20% off</x:v>
      </x:c>
      <x:c r="H2" t="str">
        <x:v>3 cuotas</x:v>
      </x:c>
      <x:c r="I2" t="str"/>
      <x:c r="J2" s="5" t="n">
        <x:f>IFERROR(B2/E2,0)</x:f>
        <x:v>89613.6</x:v>
      </x:c>
      <x:c r="K2" t="str">
        <x:f>IF(OR(ISNUMBER(SEARCH("servicio",C2&amp;D2&amp;I2)),ISNUMBER(SEARCH("alineación",C2&amp;D2&amp;I2)),ISNUMBER(SEARCH("balanceo",C2&amp;D2&amp;I2))),"Servicio","Neumático")</x:f>
        <x:v>Neumático</x:v>
      </x:c>
      <x:c r="L2" t="str">
        <x:f>C2&amp;" "&amp;D2</x:f>
        <x:v>Nexen 185/60 R14</x:v>
      </x:c>
      <x:c r="M2" t="str">
        <x:f>TEXT(A2,"dd/mm")</x:f>
        <x:v>09/08</x:v>
      </x:c>
    </x:row>
    <x:row r="3">
      <x:c r="A3" s="4" t="n">
        <x:v>46244</x:v>
      </x:c>
      <x:c r="B3" s="5" t="n">
        <x:v>268720</x:v>
      </x:c>
      <x:c r="C3" t="str">
        <x:v>Nexen</x:v>
      </x:c>
      <x:c r="D3" t="str">
        <x:v>225/45 R17</x:v>
      </x:c>
      <x:c r="E3" t="n">
        <x:v>2</x:v>
      </x:c>
      <x:c r="F3" t="str">
        <x:v>Retiro en sucursal</x:v>
      </x:c>
      <x:c r="G3" t="str">
        <x:v>20% off</x:v>
      </x:c>
      <x:c r="H3" t="str">
        <x:v>3 cuotas</x:v>
      </x:c>
      <x:c r="I3" t="str"/>
      <x:c r="J3" s="5" t="n">
        <x:f>IFERROR(B3/E3,0)</x:f>
        <x:v>134360</x:v>
      </x:c>
      <x:c r="K3" t="str">
        <x:f>IF(OR(ISNUMBER(SEARCH("servicio",C3&amp;D3&amp;I3)),ISNUMBER(SEARCH("alineación",C3&amp;D3&amp;I3)),ISNUMBER(SEARCH("balanceo",C3&amp;D3&amp;I3))),"Servicio","Neumático")</x:f>
        <x:v>Neumático</x:v>
      </x:c>
      <x:c r="L3" t="str">
        <x:f>C3&amp;" "&amp;D3</x:f>
        <x:v>Nexen 225/45 R17</x:v>
      </x:c>
      <x:c r="M3" t="str">
        <x:f>TEXT(A3,"dd/mm")</x:f>
        <x:v>10/08</x:v>
      </x:c>
    </x:row>
    <x:row r="4">
      <x:c r="A4" s="4" t="n">
        <x:v>46244</x:v>
      </x:c>
      <x:c r="B4" s="5" t="n">
        <x:v>1454810.94</x:v>
      </x:c>
      <x:c r="C4" t="str">
        <x:v>Maxtrek</x:v>
      </x:c>
      <x:c r="D4" t="str">
        <x:v>245/65 R17</x:v>
      </x:c>
      <x:c r="E4" t="n">
        <x:v>4</x:v>
      </x:c>
      <x:c r="F4" t="str">
        <x:v>CDS</x:v>
      </x:c>
      <x:c r="G4" t="str">
        <x:v>Sin promo</x:v>
      </x:c>
      <x:c r="H4" t="str">
        <x:v>12 cuotas</x:v>
      </x:c>
      <x:c r="I4" t="str"/>
      <x:c r="J4" s="5" t="n">
        <x:f>IFERROR(B4/E4,0)</x:f>
        <x:v>363702.735</x:v>
      </x:c>
      <x:c r="K4" t="str">
        <x:f>IF(OR(ISNUMBER(SEARCH("servicio",C4&amp;D4&amp;I4)),ISNUMBER(SEARCH("alineación",C4&amp;D4&amp;I4)),ISNUMBER(SEARCH("balanceo",C4&amp;D4&amp;I4))),"Servicio","Neumático")</x:f>
        <x:v>Neumático</x:v>
      </x:c>
      <x:c r="L4" t="str">
        <x:f>C4&amp;" "&amp;D4</x:f>
        <x:v>Maxtrek 245/65 R17</x:v>
      </x:c>
      <x:c r="M4" t="str">
        <x:f>TEXT(A4,"dd/mm")</x:f>
        <x:v>10/08</x:v>
      </x:c>
    </x:row>
    <x:row r="5">
      <x:c r="A5" s="4" t="n">
        <x:v>46245</x:v>
      </x:c>
      <x:c r="B5" s="5" t="n">
        <x:v>812644.17</x:v>
      </x:c>
      <x:c r="C5" t="str">
        <x:v>Yokohama</x:v>
      </x:c>
      <x:c r="D5" t="str">
        <x:v>205/55 R16</x:v>
      </x:c>
      <x:c r="E5" t="n">
        <x:v>4</x:v>
      </x:c>
      <x:c r="F5" t="str">
        <x:v>CDS</x:v>
      </x:c>
      <x:c r="G5" t="str">
        <x:v>4x3</x:v>
      </x:c>
      <x:c r="H5" t="str">
        <x:v>6 cuotas</x:v>
      </x:c>
      <x:c r="I5" t="str"/>
      <x:c r="J5" s="5" t="n">
        <x:f>IFERROR(B5/E5,0)</x:f>
        <x:v>203161.0425</x:v>
      </x:c>
      <x:c r="K5" t="str">
        <x:f>IF(OR(ISNUMBER(SEARCH("servicio",C5&amp;D5&amp;I5)),ISNUMBER(SEARCH("alineación",C5&amp;D5&amp;I5)),ISNUMBER(SEARCH("balanceo",C5&amp;D5&amp;I5))),"Servicio","Neumático")</x:f>
        <x:v>Neumático</x:v>
      </x:c>
      <x:c r="L5" t="str">
        <x:f>C5&amp;" "&amp;D5</x:f>
        <x:v>Yokohama 205/55 R16</x:v>
      </x:c>
      <x:c r="M5" t="str">
        <x:f>TEXT(A5,"dd/mm")</x:f>
        <x:v>11/08</x:v>
      </x:c>
    </x:row>
    <x:row r="6">
      <x:c r="A6" s="4" t="n">
        <x:v>46245</x:v>
      </x:c>
      <x:c r="B6" s="5" t="n">
        <x:v>134360</x:v>
      </x:c>
      <x:c r="C6" t="str">
        <x:v>Nexen</x:v>
      </x:c>
      <x:c r="D6" t="str">
        <x:v>225/45 R17</x:v>
      </x:c>
      <x:c r="E6" t="n">
        <x:v>1</x:v>
      </x:c>
      <x:c r="F6" t="str">
        <x:v>Flota Propia</x:v>
      </x:c>
      <x:c r="G6" t="str">
        <x:v>20% off</x:v>
      </x:c>
      <x:c r="H6" t="str">
        <x:v>3 cuotas</x:v>
      </x:c>
      <x:c r="I6" t="str"/>
      <x:c r="J6" s="5" t="n">
        <x:f>IFERROR(B6/E6,0)</x:f>
        <x:v>134360</x:v>
      </x:c>
      <x:c r="K6" t="str">
        <x:f>IF(OR(ISNUMBER(SEARCH("servicio",C6&amp;D6&amp;I6)),ISNUMBER(SEARCH("alineación",C6&amp;D6&amp;I6)),ISNUMBER(SEARCH("balanceo",C6&amp;D6&amp;I6))),"Servicio","Neumático")</x:f>
        <x:v>Neumático</x:v>
      </x:c>
      <x:c r="L6" t="str">
        <x:f>C6&amp;" "&amp;D6</x:f>
        <x:v>Nexen 225/45 R17</x:v>
      </x:c>
      <x:c r="M6" t="str">
        <x:f>TEXT(A6,"dd/mm")</x:f>
        <x:v>11/08</x:v>
      </x:c>
    </x:row>
    <x:row r="7">
      <x:c r="A7" s="4" t="n">
        <x:v>46246</x:v>
      </x:c>
      <x:c r="B7" s="5" t="n">
        <x:v>294044.4</x:v>
      </x:c>
      <x:c r="C7" t="str">
        <x:v>Fate</x:v>
      </x:c>
      <x:c r="D7" t="str">
        <x:v>175/70 R13</x:v>
      </x:c>
      <x:c r="E7" t="n">
        <x:v>4</x:v>
      </x:c>
      <x:c r="F7" t="str">
        <x:v>Retiro en sucursal</x:v>
      </x:c>
      <x:c r="G7" t="str">
        <x:v>10% off</x:v>
      </x:c>
      <x:c r="H7" t="str">
        <x:v>Transferencia</x:v>
      </x:c>
      <x:c r="I7" t="str"/>
      <x:c r="J7" s="5" t="n">
        <x:f>IFERROR(B7/E7,0)</x:f>
        <x:v>73511.1</x:v>
      </x:c>
      <x:c r="K7" t="str">
        <x:f>IF(OR(ISNUMBER(SEARCH("servicio",C7&amp;D7&amp;I7)),ISNUMBER(SEARCH("alineación",C7&amp;D7&amp;I7)),ISNUMBER(SEARCH("balanceo",C7&amp;D7&amp;I7))),"Servicio","Neumático")</x:f>
        <x:v>Neumático</x:v>
      </x:c>
      <x:c r="L7" t="str">
        <x:f>C7&amp;" "&amp;D7</x:f>
        <x:v>Fate 175/70 R13</x:v>
      </x:c>
      <x:c r="M7" t="str">
        <x:f>TEXT(A7,"dd/mm")</x:f>
        <x:v>12/08</x:v>
      </x:c>
    </x:row>
    <x:row r="8">
      <x:c r="A8" s="4" t="n">
        <x:v>46246</x:v>
      </x:c>
      <x:c r="B8" s="5" t="n">
        <x:v>839242.8</x:v>
      </x:c>
      <x:c r="C8" t="str">
        <x:v>Michelin</x:v>
      </x:c>
      <x:c r="D8" t="str">
        <x:v>185/65 R15</x:v>
      </x:c>
      <x:c r="E8" t="n">
        <x:v>4</x:v>
      </x:c>
      <x:c r="F8" t="str">
        <x:v>CDS</x:v>
      </x:c>
      <x:c r="G8" t="str">
        <x:v>10% off</x:v>
      </x:c>
      <x:c r="H8" t="str">
        <x:v>3 cuotas</x:v>
      </x:c>
      <x:c r="I8" t="str"/>
      <x:c r="J8" s="5" t="n">
        <x:f>IFERROR(B8/E8,0)</x:f>
        <x:v>209810.7</x:v>
      </x:c>
      <x:c r="K8" t="str">
        <x:f>IF(OR(ISNUMBER(SEARCH("servicio",C8&amp;D8&amp;I8)),ISNUMBER(SEARCH("alineación",C8&amp;D8&amp;I8)),ISNUMBER(SEARCH("balanceo",C8&amp;D8&amp;I8))),"Servicio","Neumático")</x:f>
        <x:v>Neumático</x:v>
      </x:c>
      <x:c r="L8" t="str">
        <x:f>C8&amp;" "&amp;D8</x:f>
        <x:v>Michelin 185/65 R15</x:v>
      </x:c>
      <x:c r="M8" t="str">
        <x:f>TEXT(A8,"dd/mm")</x:f>
        <x:v>12/08</x:v>
      </x:c>
    </x:row>
  </x:sheetData>
  <x:pageMargins left="0.7" right="0.7" top="0.75" bottom="0.75" header="0.3" footer="0.3"/>
  <x:tableParts count="1">
    <x:tablePart xmlns:r="http://schemas.openxmlformats.org/officeDocument/2006/relationships" r:id="R57138c74a56f43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3" t="str">
        <x:v>Marca</x:v>
      </x:c>
      <x:c r="B1" s="3" t="str">
        <x:v>Medida</x:v>
      </x:c>
      <x:c r="C1" s="3" t="str">
        <x:v>Facturación</x:v>
      </x:c>
      <x:c r="D1" s="3" t="str">
        <x:v>Unidades</x:v>
      </x:c>
      <x:c r="E1" s="3" t="str">
        <x:v>Operaciones</x:v>
      </x:c>
      <x:c r="F1" s="3" t="str">
        <x:v>Precio medio/unidad</x:v>
      </x:c>
      <x:c r="G1" s="3" t="str">
        <x:v>Participación</x:v>
      </x:c>
      <x:c r="H1" s="3" t="str">
        <x:v>Ticket por operación</x:v>
      </x:c>
      <x:c r="I1" s="3" t="str">
        <x:v>Tipo</x:v>
      </x:c>
      <x:c r="J1" s="3" t="str">
        <x:v>Clave</x:v>
      </x:c>
    </x:row>
    <x:row r="2">
      <x:c r="A2" t="str">
        <x:v>Maxtrek</x:v>
      </x:c>
      <x:c r="B2" t="str">
        <x:v>245/65 R17</x:v>
      </x:c>
      <x:c r="C2" s="5" t="n">
        <x:f>SUMIFS('Datos Ventas'!$B$2:$B$8,'Datos Ventas'!$C$2:$C$8,A2,'Datos Ventas'!$D$2:$D$8,B2)</x:f>
        <x:v>1454810.94</x:v>
      </x:c>
      <x:c r="D2" t="n">
        <x:f>SUMIFS('Datos Ventas'!$E$2:$E$8,'Datos Ventas'!$C$2:$C$8,A2,'Datos Ventas'!$D$2:$D$8,B2)</x:f>
        <x:v>4</x:v>
      </x:c>
      <x:c r="E2" t="n">
        <x:f>COUNTIFS('Datos Ventas'!$C$2:$C$8,A2,'Datos Ventas'!$D$2:$D$8,B2)</x:f>
        <x:v>1</x:v>
      </x:c>
      <x:c r="F2" s="5" t="n">
        <x:f>IFERROR(C2/D2,0)</x:f>
        <x:v>363702.735</x:v>
      </x:c>
      <x:c r="G2" s="6" t="n">
        <x:f>IFERROR(C2/SUM($C$2:$C$7),0)</x:f>
        <x:v>0.3495228792705615</x:v>
      </x:c>
      <x:c r="H2" s="5" t="n">
        <x:f>IFERROR(C2/E2,0)</x:f>
        <x:v>1454810.94</x:v>
      </x:c>
      <x:c r="I2" t="str">
        <x:v>Neumático</x:v>
      </x:c>
      <x:c r="J2" t="str">
        <x:v>Maxtrek 245/65 R17</x:v>
      </x:c>
    </x:row>
    <x:row r="3">
      <x:c r="A3" t="str">
        <x:v>Michelin</x:v>
      </x:c>
      <x:c r="B3" t="str">
        <x:v>185/65 R15</x:v>
      </x:c>
      <x:c r="C3" s="5" t="n">
        <x:f>SUMIFS('Datos Ventas'!$B$2:$B$8,'Datos Ventas'!$C$2:$C$8,A3,'Datos Ventas'!$D$2:$D$8,B3)</x:f>
        <x:v>839242.8</x:v>
      </x:c>
      <x:c r="D3" t="n">
        <x:f>SUMIFS('Datos Ventas'!$E$2:$E$8,'Datos Ventas'!$C$2:$C$8,A3,'Datos Ventas'!$D$2:$D$8,B3)</x:f>
        <x:v>4</x:v>
      </x:c>
      <x:c r="E3" t="n">
        <x:f>COUNTIFS('Datos Ventas'!$C$2:$C$8,A3,'Datos Ventas'!$D$2:$D$8,B3)</x:f>
        <x:v>1</x:v>
      </x:c>
      <x:c r="F3" s="5" t="n">
        <x:f>IFERROR(C3/D3,0)</x:f>
        <x:v>209810.7</x:v>
      </x:c>
      <x:c r="G3" s="6" t="n">
        <x:f>IFERROR(C3/SUM($C$2:$C$7),0)</x:f>
        <x:v>0.20163070801700736</x:v>
      </x:c>
      <x:c r="H3" s="5" t="n">
        <x:f>IFERROR(C3/E3,0)</x:f>
        <x:v>839242.8</x:v>
      </x:c>
      <x:c r="I3" t="str">
        <x:v>Neumático</x:v>
      </x:c>
      <x:c r="J3" t="str">
        <x:v>Michelin 185/65 R15</x:v>
      </x:c>
    </x:row>
    <x:row r="4">
      <x:c r="A4" t="str">
        <x:v>Yokohama</x:v>
      </x:c>
      <x:c r="B4" t="str">
        <x:v>205/55 R16</x:v>
      </x:c>
      <x:c r="C4" s="5" t="n">
        <x:f>SUMIFS('Datos Ventas'!$B$2:$B$8,'Datos Ventas'!$C$2:$C$8,A4,'Datos Ventas'!$D$2:$D$8,B4)</x:f>
        <x:v>812644.17</x:v>
      </x:c>
      <x:c r="D4" t="n">
        <x:f>SUMIFS('Datos Ventas'!$E$2:$E$8,'Datos Ventas'!$C$2:$C$8,A4,'Datos Ventas'!$D$2:$D$8,B4)</x:f>
        <x:v>4</x:v>
      </x:c>
      <x:c r="E4" t="n">
        <x:f>COUNTIFS('Datos Ventas'!$C$2:$C$8,A4,'Datos Ventas'!$D$2:$D$8,B4)</x:f>
        <x:v>1</x:v>
      </x:c>
      <x:c r="F4" s="5" t="n">
        <x:f>IFERROR(C4/D4,0)</x:f>
        <x:v>203161.0425</x:v>
      </x:c>
      <x:c r="G4" s="6" t="n">
        <x:f>IFERROR(C4/SUM($C$2:$C$7),0)</x:f>
        <x:v>0.19524030395374653</x:v>
      </x:c>
      <x:c r="H4" s="5" t="n">
        <x:f>IFERROR(C4/E4,0)</x:f>
        <x:v>812644.17</x:v>
      </x:c>
      <x:c r="I4" t="str">
        <x:v>Neumático</x:v>
      </x:c>
      <x:c r="J4" t="str">
        <x:v>Yokohama 205/55 R16</x:v>
      </x:c>
    </x:row>
    <x:row r="5">
      <x:c r="A5" t="str">
        <x:v>Nexen</x:v>
      </x:c>
      <x:c r="B5" t="str">
        <x:v>225/45 R17</x:v>
      </x:c>
      <x:c r="C5" s="5" t="n">
        <x:f>SUMIFS('Datos Ventas'!$B$2:$B$8,'Datos Ventas'!$C$2:$C$8,A5,'Datos Ventas'!$D$2:$D$8,B5)</x:f>
        <x:v>403080</x:v>
      </x:c>
      <x:c r="D5" t="n">
        <x:f>SUMIFS('Datos Ventas'!$E$2:$E$8,'Datos Ventas'!$C$2:$C$8,A5,'Datos Ventas'!$D$2:$D$8,B5)</x:f>
        <x:v>3</x:v>
      </x:c>
      <x:c r="E5" t="n">
        <x:f>COUNTIFS('Datos Ventas'!$C$2:$C$8,A5,'Datos Ventas'!$D$2:$D$8,B5)</x:f>
        <x:v>2</x:v>
      </x:c>
      <x:c r="F5" s="5" t="n">
        <x:f>IFERROR(C5/D5,0)</x:f>
        <x:v>134360</x:v>
      </x:c>
      <x:c r="G5" s="6" t="n">
        <x:f>IFERROR(C5/SUM($C$2:$C$7),0)</x:f>
        <x:v>0.09684123091374192</x:v>
      </x:c>
      <x:c r="H5" s="5" t="n">
        <x:f>IFERROR(C5/E5,0)</x:f>
        <x:v>201540</x:v>
      </x:c>
      <x:c r="I5" t="str">
        <x:v>Neumático</x:v>
      </x:c>
      <x:c r="J5" t="str">
        <x:v>Nexen 225/45 R17</x:v>
      </x:c>
    </x:row>
    <x:row r="6">
      <x:c r="A6" t="str">
        <x:v>Nexen</x:v>
      </x:c>
      <x:c r="B6" t="str">
        <x:v>185/60 R14</x:v>
      </x:c>
      <x:c r="C6" s="5" t="n">
        <x:f>SUMIFS('Datos Ventas'!$B$2:$B$8,'Datos Ventas'!$C$2:$C$8,A6,'Datos Ventas'!$D$2:$D$8,B6)</x:f>
        <x:v>358454.4</x:v>
      </x:c>
      <x:c r="D6" t="n">
        <x:f>SUMIFS('Datos Ventas'!$E$2:$E$8,'Datos Ventas'!$C$2:$C$8,A6,'Datos Ventas'!$D$2:$D$8,B6)</x:f>
        <x:v>4</x:v>
      </x:c>
      <x:c r="E6" t="n">
        <x:f>COUNTIFS('Datos Ventas'!$C$2:$C$8,A6,'Datos Ventas'!$D$2:$D$8,B6)</x:f>
        <x:v>1</x:v>
      </x:c>
      <x:c r="F6" s="5" t="n">
        <x:f>IFERROR(C6/D6,0)</x:f>
        <x:v>89613.6</x:v>
      </x:c>
      <x:c r="G6" s="6" t="n">
        <x:f>IFERROR(C6/SUM($C$2:$C$7),0)</x:f>
        <x:v>0.08611979091606335</x:v>
      </x:c>
      <x:c r="H6" s="5" t="n">
        <x:f>IFERROR(C6/E6,0)</x:f>
        <x:v>358454.4</x:v>
      </x:c>
      <x:c r="I6" t="str">
        <x:v>Neumático</x:v>
      </x:c>
      <x:c r="J6" t="str">
        <x:v>Nexen 185/60 R14</x:v>
      </x:c>
    </x:row>
    <x:row r="7">
      <x:c r="A7" t="str">
        <x:v>Fate</x:v>
      </x:c>
      <x:c r="B7" t="str">
        <x:v>175/70 R13</x:v>
      </x:c>
      <x:c r="C7" s="5" t="n">
        <x:f>SUMIFS('Datos Ventas'!$B$2:$B$8,'Datos Ventas'!$C$2:$C$8,A7,'Datos Ventas'!$D$2:$D$8,B7)</x:f>
        <x:v>294044.4</x:v>
      </x:c>
      <x:c r="D7" t="n">
        <x:f>SUMIFS('Datos Ventas'!$E$2:$E$8,'Datos Ventas'!$C$2:$C$8,A7,'Datos Ventas'!$D$2:$D$8,B7)</x:f>
        <x:v>4</x:v>
      </x:c>
      <x:c r="E7" t="n">
        <x:f>COUNTIFS('Datos Ventas'!$C$2:$C$8,A7,'Datos Ventas'!$D$2:$D$8,B7)</x:f>
        <x:v>1</x:v>
      </x:c>
      <x:c r="F7" s="5" t="n">
        <x:f>IFERROR(C7/D7,0)</x:f>
        <x:v>73511.1</x:v>
      </x:c>
      <x:c r="G7" s="6" t="n">
        <x:f>IFERROR(C7/SUM($C$2:$C$7),0)</x:f>
        <x:v>0.07064508692887937</x:v>
      </x:c>
      <x:c r="H7" s="5" t="n">
        <x:f>IFERROR(C7/E7,0)</x:f>
        <x:v>294044.4</x:v>
      </x:c>
      <x:c r="I7" t="str">
        <x:v>Neumático</x:v>
      </x:c>
      <x:c r="J7" t="str">
        <x:v>Fate 175/70 R13</x:v>
      </x:c>
    </x:row>
  </x:sheetData>
  <x:pageMargins left="0.7" right="0.7" top="0.75" bottom="0.75" header="0.3" footer="0.3"/>
  <x:tableParts count="1">
    <x:tablePart xmlns:r="http://schemas.openxmlformats.org/officeDocument/2006/relationships" r:id="R6e47d14f5dc543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5" hidden="0" customWidth="1"/>
    <x:col min="3" max="3" width="22" hidden="0" customWidth="1"/>
    <x:col min="4" max="4" width="22" hidden="0" customWidth="1"/>
    <x:col min="5" max="5" width="35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7" customHeight="1">
      <x:c r="A1" s="10" t="str">
        <x:v>SERVICIOS Y PRODUCTOS ADICIONALES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7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22" customHeight="1">
      <x:c r="A3" s="14" t="str">
        <x:v>Clasificación independiente del período 09/08 al 12/08/2026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5">
      <x:c r="A5" s="62" t="str">
        <x:v>RESULTADO DE LA REVISIÓN</x:v>
      </x:c>
      <x:c r="B5" s="62"/>
      <x:c r="C5" s="62"/>
      <x:c r="D5" s="62"/>
      <x:c r="E5" s="62"/>
      <x:c r="F5" s="62"/>
      <x:c r="G5" s="62"/>
      <x:c r="H5" s="62"/>
      <x:c r="I5" s="62"/>
      <x:c r="J5" s="62"/>
      <x:c r="K5" s="62"/>
    </x:row>
    <x:row r="6">
      <x:c r="A6" s="62"/>
      <x:c r="B6" s="62"/>
      <x:c r="C6" s="62"/>
      <x:c r="D6" s="62"/>
      <x:c r="E6" s="62"/>
      <x:c r="F6" s="62"/>
      <x:c r="G6" s="62"/>
      <x:c r="H6" s="62"/>
      <x:c r="I6" s="62"/>
      <x:c r="J6" s="62"/>
      <x:c r="K6" s="62"/>
    </x:row>
    <x:row r="8">
      <x:c r="A8" s="64" t="str">
        <x:v>Fecha</x:v>
      </x:c>
      <x:c r="B8" s="64" t="str">
        <x:v>Detalle</x:v>
      </x:c>
      <x:c r="C8" s="64" t="str">
        <x:v>Cantidad</x:v>
      </x:c>
      <x:c r="D8" s="64" t="str">
        <x:v>Facturación atribuible</x:v>
      </x:c>
      <x:c r="E8" s="64" t="str">
        <x:v>Origen</x:v>
      </x:c>
      <x:c r="F8" s="64" t="str">
        <x:v>Estado</x:v>
      </x:c>
    </x:row>
    <x:row r="9">
      <x:c r="A9" s="15" t="str">
        <x:v>—</x:v>
      </x:c>
      <x:c r="B9" s="15" t="str">
        <x:v>No se detectaron servicios</x:v>
      </x:c>
      <x:c r="C9" s="15" t="n">
        <x:v>0</x:v>
      </x:c>
      <x:c r="D9" s="65" t="n">
        <x:v>0</x:v>
      </x:c>
      <x:c r="E9" s="15" t="str">
        <x:v>Marca / Medida / Observaciones</x:v>
      </x:c>
      <x:c r="F9" s="15" t="str">
        <x:v>Sin registros</x:v>
      </x:c>
    </x:row>
    <x:row r="13">
      <x:c r="A13" s="64" t="str">
        <x:v>Fecha</x:v>
      </x:c>
      <x:c r="B13" s="64" t="str">
        <x:v>Producto adicional / combo</x:v>
      </x:c>
      <x:c r="C13" s="64" t="str">
        <x:v>Cantidad</x:v>
      </x:c>
      <x:c r="D13" s="64" t="str">
        <x:v>Facturación atribuible</x:v>
      </x:c>
      <x:c r="E13" s="64" t="str">
        <x:v>Origen</x:v>
      </x:c>
      <x:c r="F13" s="64" t="str">
        <x:v>Estado</x:v>
      </x:c>
    </x:row>
    <x:row r="14">
      <x:c r="A14" s="24" t="str">
        <x:v>—</x:v>
      </x:c>
      <x:c r="B14" s="24" t="str">
        <x:v>No se detectaron productos adicionales ni combos</x:v>
      </x:c>
      <x:c r="C14" s="24" t="n">
        <x:v>0</x:v>
      </x:c>
      <x:c r="D14" s="66" t="n">
        <x:v>0</x:v>
      </x:c>
      <x:c r="E14" s="24" t="str">
        <x:v>Observaciones</x:v>
      </x:c>
      <x:c r="F14" s="24" t="str">
        <x:v>Sin registros</x:v>
      </x:c>
    </x:row>
    <x:row r="18">
      <x:c r="A18" s="69" t="str">
        <x:v>Criterio: se revisaron Marca, Medida y Observaciones buscando servicios (alineación, balanceo, armado) y adicionales o combos. Las 7 filas corresponden a neumáticos; Observaciones está vacío en todo el origen. Si más adelante se cargan servicios dentro de una misma operación, conviene indicar cantidades e importes separados para evitar asignarles facturación de neumáticos.</x:v>
      </x:c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</x:row>
  </x:sheetData>
  <x:mergeCells>
    <x:mergeCell ref="A1:K2"/>
    <x:mergeCell ref="A3:K3"/>
    <x:mergeCell ref="A5:K6"/>
    <x:mergeCell ref="A18:K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7" customHeight="1">
      <x:c r="A1" s="10" t="str">
        <x:v>ANÁLISIS EJECUTIVO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27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</x:row>
    <x:row r="3" ht="22" customHeight="1">
      <x:c r="A3" s="14" t="str">
        <x:v>Lectura comercial del período 09/08 al 12/08/2026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5">
      <x:c r="A5" s="71" t="str">
        <x:v>RESUMEN GENERAL</x:v>
      </x:c>
      <x:c r="B5" s="71"/>
      <x:c r="C5" s="71"/>
      <x:c r="D5" s="71"/>
      <x:c r="E5" s="71"/>
      <x:c r="F5" s="71"/>
      <x:c r="G5" s="71"/>
      <x:c r="H5" s="71"/>
      <x:c r="I5" s="71"/>
      <x:c r="J5" s="71"/>
    </x:row>
    <x:row r="7">
      <x:c r="A7" s="75" t="str">
        <x:f>"Facturación
"&amp;TEXT(SUM('Datos Ventas'!B2:B8),"$ #,##0.00")</x:f>
        <x:v>Facturación
$ 4,162,276.71</x:v>
      </x:c>
      <x:c r="B7" s="75"/>
      <x:c r="C7" s="75"/>
      <x:c r="D7" s="75" t="str">
        <x:f>"Volumen
"&amp;SUM('Datos Ventas'!E2:E8)&amp;" unidades"</x:f>
        <x:v>Volumen
23 unidades</x:v>
      </x:c>
      <x:c r="E7" s="75"/>
      <x:c r="F7" s="75"/>
      <x:c r="G7" s="75" t="str">
        <x:f>"Ticket medio
"&amp;TEXT(AVERAGE('Datos Ventas'!B2:B8),"$ #,##0.00")</x:f>
        <x:v>Ticket medio
$ 594,610.96</x:v>
      </x:c>
      <x:c r="H7" s="75"/>
      <x:c r="I7" s="75"/>
      <x:c r="J7" s="75"/>
    </x:row>
    <x:row r="8">
      <x:c r="A8" s="75"/>
      <x:c r="B8" s="75"/>
      <x:c r="C8" s="75"/>
      <x:c r="D8" s="75"/>
      <x:c r="E8" s="75"/>
      <x:c r="F8" s="75"/>
      <x:c r="G8" s="75"/>
      <x:c r="H8" s="75"/>
      <x:c r="I8" s="75"/>
      <x:c r="J8" s="75"/>
    </x:row>
    <x:row r="9">
      <x:c r="A9" s="75"/>
      <x:c r="B9" s="75"/>
      <x:c r="C9" s="75"/>
      <x:c r="D9" s="75"/>
      <x:c r="E9" s="75"/>
      <x:c r="F9" s="75"/>
      <x:c r="G9" s="75"/>
      <x:c r="H9" s="75"/>
      <x:c r="I9" s="75"/>
      <x:c r="J9" s="75"/>
    </x:row>
    <x:row r="10">
      <x:c r="A10" s="75"/>
      <x:c r="B10" s="75"/>
      <x:c r="C10" s="75"/>
      <x:c r="D10" s="75"/>
      <x:c r="E10" s="75"/>
      <x:c r="F10" s="75"/>
      <x:c r="G10" s="75"/>
      <x:c r="H10" s="75"/>
      <x:c r="I10" s="75"/>
      <x:c r="J10" s="75"/>
    </x:row>
    <x:row r="13">
      <x:c r="A13" s="77" t="str">
        <x:v>HALLAZGOS</x:v>
      </x:c>
      <x:c r="B13" s="77"/>
      <x:c r="C13" s="77"/>
      <x:c r="D13" s="77"/>
      <x:c r="E13" s="77"/>
      <x:c r="F13" s="77"/>
      <x:c r="G13" s="77"/>
      <x:c r="H13" s="77"/>
      <x:c r="I13" s="77"/>
      <x:c r="J13" s="77"/>
    </x:row>
    <x:row r="15">
      <x:c r="A15" s="81" t="str">
        <x:v>1</x:v>
      </x:c>
      <x:c r="B15" s="85" t="str">
        <x:v>Maxtrek lideró la facturación con $ 1.454.810,94, explicada por una sola operación de 4 unidades.</x:v>
      </x:c>
      <x:c r="C15" s="85"/>
      <x:c r="D15" s="85"/>
      <x:c r="E15" s="85"/>
      <x:c r="F15" s="85"/>
      <x:c r="G15" s="85"/>
      <x:c r="H15" s="85"/>
      <x:c r="I15" s="85"/>
      <x:c r="J15" s="85"/>
    </x:row>
    <x:row r="16">
      <x:c r="A16" s="81"/>
      <x:c r="B16" s="85"/>
      <x:c r="C16" s="85"/>
      <x:c r="D16" s="85"/>
      <x:c r="E16" s="85"/>
      <x:c r="F16" s="85"/>
      <x:c r="G16" s="85"/>
      <x:c r="H16" s="85"/>
      <x:c r="I16" s="85"/>
      <x:c r="J16" s="85"/>
    </x:row>
    <x:row r="18">
      <x:c r="A18" s="81" t="str">
        <x:v>2</x:v>
      </x:c>
      <x:c r="B18" s="85" t="str">
        <x:v>CDS concentró $ 3.106.697,91 y fue el canal logístico de mayor peso.</x:v>
      </x:c>
      <x:c r="C18" s="85"/>
      <x:c r="D18" s="85"/>
      <x:c r="E18" s="85"/>
      <x:c r="F18" s="85"/>
      <x:c r="G18" s="85"/>
      <x:c r="H18" s="85"/>
      <x:c r="I18" s="85"/>
      <x:c r="J18" s="85"/>
    </x:row>
    <x:row r="19">
      <x:c r="A19" s="81"/>
      <x:c r="B19" s="85"/>
      <x:c r="C19" s="85"/>
      <x:c r="D19" s="85"/>
      <x:c r="E19" s="85"/>
      <x:c r="F19" s="85"/>
      <x:c r="G19" s="85"/>
      <x:c r="H19" s="85"/>
      <x:c r="I19" s="85"/>
      <x:c r="J19" s="85"/>
    </x:row>
    <x:row r="21">
      <x:c r="A21" s="81" t="str">
        <x:v>3</x:v>
      </x:c>
      <x:c r="B21" s="85" t="str">
        <x:v>La venta máxima fue Maxtrek 245/65 R17: $ 1.454.810,94, equivalente al 35% del período.</x:v>
      </x:c>
      <x:c r="C21" s="85"/>
      <x:c r="D21" s="85"/>
      <x:c r="E21" s="85"/>
      <x:c r="F21" s="85"/>
      <x:c r="G21" s="85"/>
      <x:c r="H21" s="85"/>
      <x:c r="I21" s="85"/>
      <x:c r="J21" s="85"/>
    </x:row>
    <x:row r="22">
      <x:c r="A22" s="81"/>
      <x:c r="B22" s="85"/>
      <x:c r="C22" s="85"/>
      <x:c r="D22" s="85"/>
      <x:c r="E22" s="85"/>
      <x:c r="F22" s="85"/>
      <x:c r="G22" s="85"/>
      <x:c r="H22" s="85"/>
      <x:c r="I22" s="85"/>
      <x:c r="J22" s="85"/>
    </x:row>
    <x:row r="24">
      <x:c r="A24" s="81" t="str">
        <x:v>4</x:v>
      </x:c>
      <x:c r="B24" s="85" t="str">
        <x:v>El 20% off se aplicó solamente a Nexen. La operación 4x3 correspondió a Yokohama 205/55 R16.</x:v>
      </x:c>
      <x:c r="C24" s="85"/>
      <x:c r="D24" s="85"/>
      <x:c r="E24" s="85"/>
      <x:c r="F24" s="85"/>
      <x:c r="G24" s="85"/>
      <x:c r="H24" s="85"/>
      <x:c r="I24" s="85"/>
      <x:c r="J24" s="85"/>
    </x:row>
    <x:row r="25">
      <x:c r="A25" s="81"/>
      <x:c r="B25" s="85"/>
      <x:c r="C25" s="85"/>
      <x:c r="D25" s="85"/>
      <x:c r="E25" s="85"/>
      <x:c r="F25" s="85"/>
      <x:c r="G25" s="85"/>
      <x:c r="H25" s="85"/>
      <x:c r="I25" s="85"/>
      <x:c r="J25" s="85"/>
    </x:row>
    <x:row r="27">
      <x:c r="A27" s="81" t="str">
        <x:v>5</x:v>
      </x:c>
      <x:c r="B27" s="85" t="str">
        <x:v>La muestra abarca 4 días. No conviene extrapolar el ritmo a una semana completa sin incorporar 13/08–15/08.</x:v>
      </x:c>
      <x:c r="C27" s="85"/>
      <x:c r="D27" s="85"/>
      <x:c r="E27" s="85"/>
      <x:c r="F27" s="85"/>
      <x:c r="G27" s="85"/>
      <x:c r="H27" s="85"/>
      <x:c r="I27" s="85"/>
      <x:c r="J27" s="85"/>
    </x:row>
    <x:row r="28">
      <x:c r="A28" s="81"/>
      <x:c r="B28" s="85"/>
      <x:c r="C28" s="85"/>
      <x:c r="D28" s="85"/>
      <x:c r="E28" s="85"/>
      <x:c r="F28" s="85"/>
      <x:c r="G28" s="85"/>
      <x:c r="H28" s="85"/>
      <x:c r="I28" s="85"/>
      <x:c r="J28" s="85"/>
    </x:row>
    <x:row r="33">
      <x:c r="A33" s="77" t="str">
        <x:v>ACCIONES SUGERIDAS</x:v>
      </x:c>
      <x:c r="B33" s="77"/>
      <x:c r="C33" s="77"/>
      <x:c r="D33" s="77"/>
      <x:c r="E33" s="77"/>
      <x:c r="F33" s="77"/>
      <x:c r="G33" s="77"/>
      <x:c r="H33" s="77"/>
      <x:c r="I33" s="77"/>
      <x:c r="J33" s="77"/>
    </x:row>
    <x:row r="35">
      <x:c r="A35" s="88" t="str">
        <x:v>• Completar el cierre del período antes de comparar contra una semana completa.
• Revisar disponibilidad y margen de Maxtrek 245/65 R17 y Michelin 185/65 R15, que explican gran parte del ingreso.
• Mantener el seguimiento de Nexen 225/45 R17: fue el único producto con más de una operación.
• Registrar servicios y adicionales en Observaciones con cantidad e importe propio para analizarlos sin mezclar facturación.</x:v>
      </x:c>
      <x:c r="B35" s="88"/>
      <x:c r="C35" s="88"/>
      <x:c r="D35" s="88"/>
      <x:c r="E35" s="88"/>
      <x:c r="F35" s="88"/>
      <x:c r="G35" s="88"/>
      <x:c r="H35" s="88"/>
      <x:c r="I35" s="88"/>
      <x:c r="J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</x:row>
  </x:sheetData>
  <x:mergeCells>
    <x:mergeCell ref="A1:J2"/>
    <x:mergeCell ref="A3:J3"/>
    <x:mergeCell ref="A5:J5"/>
    <x:mergeCell ref="A7:C10"/>
    <x:mergeCell ref="D7:F10"/>
    <x:mergeCell ref="G7:J10"/>
    <x:mergeCell ref="A13:J13"/>
    <x:mergeCell ref="A15:A16"/>
    <x:mergeCell ref="B15:J16"/>
    <x:mergeCell ref="A18:A19"/>
    <x:mergeCell ref="B18:J19"/>
    <x:mergeCell ref="A21:A22"/>
    <x:mergeCell ref="B21:J22"/>
    <x:mergeCell ref="A24:A25"/>
    <x:mergeCell ref="B24:J25"/>
    <x:mergeCell ref="A27:A28"/>
    <x:mergeCell ref="B27:J28"/>
    <x:mergeCell ref="A33:J33"/>
    <x:mergeCell ref="A35:J3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10" t="str">
        <x:v>CONTROLES DEL MODELO</x:v>
      </x:c>
      <x:c r="B1" s="10"/>
      <x:c r="C1" s="10"/>
      <x:c r="D1" s="10"/>
      <x:c r="E1" s="10"/>
      <x:c r="F1" s="10"/>
      <x:c r="G1" s="10"/>
      <x:c r="H1" s="10"/>
    </x:row>
    <x:row r="2" ht="27" customHeight="1">
      <x:c r="A2" s="10"/>
      <x:c r="B2" s="10"/>
      <x:c r="C2" s="10"/>
      <x:c r="D2" s="10"/>
      <x:c r="E2" s="10"/>
      <x:c r="F2" s="10"/>
      <x:c r="G2" s="10"/>
      <x:c r="H2" s="10"/>
    </x:row>
    <x:row r="3" ht="22" customHeight="1">
      <x:c r="A3" s="14" t="str">
        <x:v>Conciliación con el archivo fuente · 09/08 al 12/08/2026</x:v>
      </x:c>
      <x:c r="B3" s="14"/>
      <x:c r="C3" s="14"/>
      <x:c r="D3" s="14"/>
      <x:c r="E3" s="14"/>
      <x:c r="F3" s="14"/>
      <x:c r="G3" s="14"/>
      <x:c r="H3" s="14"/>
    </x:row>
    <x:row r="6">
      <x:c r="A6" s="3" t="str">
        <x:v>Control</x:v>
      </x:c>
      <x:c r="B6" s="3" t="str">
        <x:v>Origen</x:v>
      </x:c>
      <x:c r="C6" s="3" t="str">
        <x:v>Modelo</x:v>
      </x:c>
      <x:c r="D6" s="3" t="str">
        <x:v>Diferencia</x:v>
      </x:c>
      <x:c r="E6" s="3" t="str">
        <x:v>Estado</x:v>
      </x:c>
    </x:row>
    <x:row r="7">
      <x:c r="A7" t="str">
        <x:v>Facturación</x:v>
      </x:c>
      <x:c r="B7" s="5" t="n">
        <x:v>4162276.71</x:v>
      </x:c>
      <x:c r="C7" s="5" t="n">
        <x:f>SUM('Datos Ventas'!B2:B8)</x:f>
        <x:v>4162276.71</x:v>
      </x:c>
      <x:c r="D7" s="5" t="n">
        <x:f>C7-B7</x:f>
        <x:v>0</x:v>
      </x:c>
      <x:c r="E7" t="str">
        <x:f>IF(ABS(D7)&lt;0.01,"PASS","FAIL")</x:f>
        <x:v>PASS</x:v>
      </x:c>
    </x:row>
    <x:row r="8">
      <x:c r="A8" t="str">
        <x:v>Unidades</x:v>
      </x:c>
      <x:c r="B8" t="n">
        <x:v>23</x:v>
      </x:c>
      <x:c r="C8" t="n">
        <x:f>SUM('Datos Ventas'!E2:E8)</x:f>
        <x:v>23</x:v>
      </x:c>
      <x:c r="D8" t="n">
        <x:f>C8-B8</x:f>
        <x:v>0</x:v>
      </x:c>
      <x:c r="E8" t="str">
        <x:f>IF(ABS(D8)&lt;0.01,"PASS","FAIL")</x:f>
        <x:v>PASS</x:v>
      </x:c>
    </x:row>
    <x:row r="9">
      <x:c r="A9" t="str">
        <x:v>Operaciones</x:v>
      </x:c>
      <x:c r="B9" t="n">
        <x:v>7</x:v>
      </x:c>
      <x:c r="C9" t="n">
        <x:f>COUNTA('Datos Ventas'!A2:A8)</x:f>
        <x:v>7</x:v>
      </x:c>
      <x:c r="D9" t="n">
        <x:f>C9-B9</x:f>
        <x:v>0</x:v>
      </x:c>
      <x:c r="E9" t="str">
        <x:f>IF(ABS(D9)&lt;0.01,"PASS","FAIL")</x:f>
        <x:v>PASS</x:v>
      </x:c>
    </x:row>
    <x:row r="10">
      <x:c r="A10" t="str">
        <x:v>Servicios detectados</x:v>
      </x:c>
      <x:c r="B10" t="n">
        <x:v>0</x:v>
      </x:c>
      <x:c r="C10" t="n">
        <x:f>COUNTIF('Datos Ventas'!K2:K8,"Servicio")</x:f>
        <x:v>0</x:v>
      </x:c>
      <x:c r="D10" t="n">
        <x:f>C10-B10</x:f>
        <x:v>0</x:v>
      </x:c>
      <x:c r="E10" t="str">
        <x:f>IF(ABS(D10)&lt;0.01,"PASS","FAIL")</x:f>
        <x:v>PASS</x:v>
      </x:c>
    </x:row>
    <x:row r="11">
      <x:c r="A11" t="str">
        <x:v>Adicionales / combos</x:v>
      </x:c>
      <x:c r="B11" t="n">
        <x:v>0</x:v>
      </x:c>
      <x:c r="C11" t="n">
        <x:f>0</x:f>
        <x:v>0</x:v>
      </x:c>
      <x:c r="D11" t="n">
        <x:f>C11-B11</x:f>
        <x:v>0</x:v>
      </x:c>
      <x:c r="E11" t="str">
        <x:f>IF(ABS(D11)&lt;0.01,"PASS","FAIL")</x:f>
        <x:v>PASS</x:v>
      </x:c>
    </x:row>
    <x:row r="12">
      <x:c r="A12" t="str">
        <x:v>Fecha mínima</x:v>
      </x:c>
      <x:c r="B12" s="4" t="n">
        <x:v>46243</x:v>
      </x:c>
      <x:c r="C12" s="4" t="n">
        <x:f>MIN('Datos Ventas'!A2:A8)</x:f>
        <x:v>46243</x:v>
      </x:c>
      <x:c r="D12" s="89" t="n">
        <x:f>C12-B12</x:f>
        <x:v>0</x:v>
      </x:c>
      <x:c r="E12" t="str">
        <x:f>IF(ABS(D12)&lt;0.01,"PASS","FAIL")</x:f>
        <x:v>PASS</x:v>
      </x:c>
    </x:row>
    <x:row r="13">
      <x:c r="A13" t="str">
        <x:v>Fecha máxima</x:v>
      </x:c>
      <x:c r="B13" s="4" t="n">
        <x:v>46246</x:v>
      </x:c>
      <x:c r="C13" s="4" t="n">
        <x:f>MAX('Datos Ventas'!A2:A8)</x:f>
        <x:v>46246</x:v>
      </x:c>
      <x:c r="D13" s="89" t="n">
        <x:f>C13-B13</x:f>
        <x:v>0</x:v>
      </x:c>
      <x:c r="E13" t="str">
        <x:f>IF(ABS(D13)&lt;0.01,"PASS","FAIL")</x:f>
        <x:v>PASS</x:v>
      </x:c>
    </x:row>
    <x:row r="16">
      <x:c r="A16" s="52" t="str">
        <x:v>MODEL STATUS</x:v>
      </x:c>
      <x:c r="B16" s="52"/>
      <x:c r="C16" s="92" t="str">
        <x:f>IF(COUNTIF(E7:E13,"FAIL")=0,"PASS","FAIL")</x:f>
        <x:v>PASS</x:v>
      </x:c>
      <x:c r="D16" s="92"/>
      <x:c r="E16" s="92"/>
    </x:row>
    <x:row r="17">
      <x:c r="A17" s="52"/>
      <x:c r="B17" s="52"/>
      <x:c r="C17" s="92"/>
      <x:c r="D17" s="92"/>
      <x:c r="E17" s="92"/>
    </x:row>
    <x:row r="18">
      <x:c r="A18" s="52"/>
      <x:c r="B18" s="52"/>
      <x:c r="C18" s="92"/>
      <x:c r="D18" s="92"/>
      <x:c r="E18" s="92"/>
    </x:row>
    <x:row r="21">
      <x:c r="A21" s="69" t="str">
        <x:v>Alcance: el origen contiene solo ventas y cubre 09/08–12/08. El reporte preserva esa cobertura y no agrega búsquedas ni estimaciones. Servicios y productos adicionales se controlan por separado y resultan en cero registros.</x:v>
      </x:c>
      <x:c r="B21" s="69"/>
      <x:c r="C21" s="69"/>
      <x:c r="D21" s="69"/>
      <x:c r="E21" s="69"/>
      <x:c r="F21" s="69"/>
      <x:c r="G21" s="69"/>
      <x:c r="H21" s="69"/>
    </x:row>
    <x:row r="22">
      <x:c r="A22" s="69"/>
      <x:c r="B22" s="69"/>
      <x:c r="C22" s="69"/>
      <x:c r="D22" s="69"/>
      <x:c r="E22" s="69"/>
      <x:c r="F22" s="69"/>
      <x:c r="G22" s="69"/>
      <x:c r="H22" s="69"/>
    </x:row>
    <x:row r="23">
      <x:c r="A23" s="69"/>
      <x:c r="B23" s="69"/>
      <x:c r="C23" s="69"/>
      <x:c r="D23" s="69"/>
      <x:c r="E23" s="69"/>
      <x:c r="F23" s="69"/>
      <x:c r="G23" s="69"/>
      <x:c r="H23" s="69"/>
    </x:row>
    <x:row r="24">
      <x:c r="A24" s="69"/>
      <x:c r="B24" s="69"/>
      <x:c r="C24" s="69"/>
      <x:c r="D24" s="69"/>
      <x:c r="E24" s="69"/>
      <x:c r="F24" s="69"/>
      <x:c r="G24" s="69"/>
      <x:c r="H24" s="69"/>
    </x:row>
    <x:row r="25">
      <x:c r="A25" s="69"/>
      <x:c r="B25" s="69"/>
      <x:c r="C25" s="69"/>
      <x:c r="D25" s="69"/>
      <x:c r="E25" s="69"/>
      <x:c r="F25" s="69"/>
      <x:c r="G25" s="69"/>
      <x:c r="H25" s="69"/>
    </x:row>
  </x:sheetData>
  <x:mergeCells>
    <x:mergeCell ref="A1:H2"/>
    <x:mergeCell ref="A3:H3"/>
    <x:mergeCell ref="A16:B18"/>
    <x:mergeCell ref="C16:E18"/>
    <x:mergeCell ref="A21:H25"/>
  </x:mergeCells>
  <x:conditionalFormatting sqref="E7:E13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