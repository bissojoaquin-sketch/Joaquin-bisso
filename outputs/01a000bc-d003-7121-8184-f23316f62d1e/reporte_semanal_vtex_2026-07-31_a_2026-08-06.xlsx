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1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f48961639b49af" /></Relationships>
</file>

<file path=xl/workbook.xml><?xml version="1.0" encoding="utf-8"?>
<x:workbook xmlns:x="http://schemas.openxmlformats.org/spreadsheetml/2006/main">
  <x:sheets>
    <x:sheet xmlns:r="http://schemas.openxmlformats.org/officeDocument/2006/relationships" name="Dashboard Ventas" sheetId="1" r:id="Re67a0a10ef574142"/>
    <x:sheet xmlns:r="http://schemas.openxmlformats.org/officeDocument/2006/relationships" name="Dashboard Búsquedas" sheetId="2" r:id="R9d6ed6a82134483f"/>
    <x:sheet xmlns:r="http://schemas.openxmlformats.org/officeDocument/2006/relationships" name="Servicios y extras" sheetId="3" r:id="R258ef48190574fb4"/>
    <x:sheet xmlns:r="http://schemas.openxmlformats.org/officeDocument/2006/relationships" name="Datos Ventas" sheetId="4" r:id="Re343ff34c33545f2"/>
    <x:sheet xmlns:r="http://schemas.openxmlformats.org/officeDocument/2006/relationships" name="Productos vendidos" sheetId="5" r:id="R50a135f84ab1448b"/>
    <x:sheet xmlns:r="http://schemas.openxmlformats.org/officeDocument/2006/relationships" name="Datos Búsquedas" sheetId="6" r:id="Rdcb459d0584f4119"/>
    <x:sheet xmlns:r="http://schemas.openxmlformats.org/officeDocument/2006/relationships" name="Datos Búsq. Día" sheetId="7" r:id="Re7b77f5be10d49e0"/>
    <x:sheet xmlns:r="http://schemas.openxmlformats.org/officeDocument/2006/relationships" name="Controles" sheetId="8" r:id="R4500e72c42aa4f4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mm/yyyy"/>
    <x:numFmt numFmtId="201" formatCode="&quot;$&quot;#,##0.00"/>
    <x:numFmt numFmtId="202" formatCode="0.00%"/>
    <x:numFmt numFmtId="203" formatCode="&quot;$&quot;#,##0"/>
    <x:numFmt numFmtId="204" formatCode="#,##0"/>
    <x:numFmt numFmtId="205" formatCode="0.0%"/>
  </x:numFmts>
  <x:fonts count="9">
    <x:font>
      <x:sz val="11"/>
      <x:name val="Carlito"/>
    </x:font>
    <x:font>
      <x:b/>
      <x:sz val="11"/>
      <x:color rgb="FFFFFFFF"/>
      <x:name val="Carlito"/>
    </x:font>
    <x:font>
      <x:b/>
      <x:sz val="18"/>
      <x:color rgb="FFFFFFFF"/>
      <x:name val="Carlito"/>
    </x:font>
    <x:font>
      <x:b/>
      <x:sz val="10"/>
      <x:color rgb="FF17365D"/>
      <x:name val="Carlito"/>
    </x:font>
    <x:font>
      <x:b/>
      <x:sz val="17"/>
      <x:color rgb="FF17365D"/>
      <x:name val="Carlito"/>
    </x:font>
    <x:font>
      <x:b/>
      <x:sz val="11"/>
      <x:color rgb="FF17365D"/>
      <x:name val="Carlito"/>
    </x:font>
    <x:font>
      <x:sz val="11"/>
      <x:color rgb="FF595959"/>
      <x:name val="Carlito"/>
    </x:font>
    <x:font>
      <x:b/>
      <x:sz val="14"/>
      <x:color rgb="FFFFFFFF"/>
      <x:name val="Carlito"/>
    </x:font>
    <x:font>
      <x:b/>
      <x:sz val="18"/>
      <x:color rgb="FF70AD47"/>
      <x:name val="Carlito"/>
    </x:font>
  </x:fonts>
  <x:fills count="9">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E2F0D9"/>
      </x:patternFill>
    </x:fill>
    <x:fill>
      <x:patternFill patternType="solid">
        <x:fgColor rgb="FFFFF2CC"/>
      </x:patternFill>
    </x:fill>
    <x:fill>
      <x:patternFill patternType="solid">
        <x:fgColor rgb="FFFCE4D6"/>
      </x:patternFill>
    </x:fill>
  </x:fills>
  <x:borders count="3">
    <x:border/>
    <x:border>
      <x:top style="medium">
        <x:color rgb="FFF28C28"/>
      </x:top>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4" fillId="5" borderId="0" xfId="0" applyNumberFormat="1" applyFont="1" applyFill="1" applyBorder="1"/>
    <x:xf numFmtId="203" fontId="4" fillId="5" borderId="0" xfId="0" applyNumberFormat="1" applyFont="1" applyFill="1" applyBorder="1"/>
    <x:xf numFmtId="203" fontId="4" fillId="5" borderId="0" xfId="0" applyNumberFormat="1" applyFont="1" applyFill="1" applyBorder="1" applyAlignment="1">
      <x:alignment horizontal="center"/>
    </x:xf>
    <x:xf numFmtId="203" fontId="4"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0" fontId="4" fillId="6" borderId="0" xfId="0" applyNumberFormat="1" applyFont="1" applyFill="1" applyBorder="1"/>
    <x:xf numFmtId="204" fontId="4" fillId="6" borderId="0" xfId="0" applyNumberFormat="1" applyFont="1" applyFill="1" applyBorder="1"/>
    <x:xf numFmtId="204" fontId="4" fillId="6" borderId="0" xfId="0" applyNumberFormat="1" applyFont="1" applyFill="1" applyBorder="1" applyAlignment="1">
      <x:alignment horizontal="center"/>
    </x:xf>
    <x:xf numFmtId="204" fontId="4"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3" fillId="7" borderId="1" xfId="0" applyNumberFormat="1" applyFont="1" applyFill="1" applyBorder="1" applyAlignment="1">
      <x:alignment horizontal="center" vertical="center"/>
    </x:xf>
    <x:xf numFmtId="0" fontId="4" fillId="7" borderId="0" xfId="0" applyNumberFormat="1" applyFont="1" applyFill="1" applyBorder="1"/>
    <x:xf numFmtId="204" fontId="4" fillId="7" borderId="0" xfId="0" applyNumberFormat="1" applyFont="1" applyFill="1" applyBorder="1"/>
    <x:xf numFmtId="204" fontId="4" fillId="7" borderId="0" xfId="0" applyNumberFormat="1" applyFont="1" applyFill="1" applyBorder="1" applyAlignment="1">
      <x:alignment horizontal="center"/>
    </x:xf>
    <x:xf numFmtId="204" fontId="4"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3" fillId="8" borderId="1" xfId="0" applyNumberFormat="1" applyFont="1" applyFill="1" applyBorder="1" applyAlignment="1">
      <x:alignment horizontal="center" vertical="center"/>
    </x:xf>
    <x:xf numFmtId="0" fontId="4" fillId="8" borderId="0" xfId="0" applyNumberFormat="1" applyFont="1" applyFill="1" applyBorder="1"/>
    <x:xf numFmtId="203" fontId="4" fillId="8" borderId="0" xfId="0" applyNumberFormat="1" applyFont="1" applyFill="1" applyBorder="1"/>
    <x:xf numFmtId="203" fontId="4" fillId="8" borderId="0" xfId="0" applyNumberFormat="1" applyFont="1" applyFill="1" applyBorder="1" applyAlignment="1">
      <x:alignment horizontal="center"/>
    </x:xf>
    <x:xf numFmtId="203" fontId="4" fillId="8" borderId="0" xfId="0" applyNumberFormat="1" applyFont="1" applyFill="1" applyBorder="1" applyAlignment="1">
      <x:alignment horizontal="center" vertical="center"/>
    </x:xf>
    <x:xf numFmtId="205" fontId="4" fillId="6" borderId="0" xfId="0" applyNumberFormat="1" applyFont="1" applyFill="1" applyBorder="1"/>
    <x:xf numFmtId="205" fontId="4" fillId="6" borderId="0" xfId="0" applyNumberFormat="1" applyFont="1" applyFill="1" applyBorder="1" applyAlignment="1">
      <x:alignment horizontal="center"/>
    </x:xf>
    <x:xf numFmtId="205" fontId="4" fillId="6" borderId="0" xfId="0" applyNumberFormat="1" applyFont="1" applyFill="1" applyBorder="1" applyAlignment="1">
      <x:alignment horizontal="center" vertical="center"/>
    </x:xf>
    <x:xf numFmtId="205" fontId="4" fillId="5" borderId="0" xfId="0" applyNumberFormat="1" applyFont="1" applyFill="1" applyBorder="1"/>
    <x:xf numFmtId="205" fontId="4" fillId="5" borderId="0" xfId="0" applyNumberFormat="1" applyFont="1" applyFill="1" applyBorder="1" applyAlignment="1">
      <x:alignment horizontal="center"/>
    </x:xf>
    <x:xf numFmtId="205" fontId="4" fillId="5" borderId="0" xfId="0" applyNumberFormat="1" applyFont="1" applyFill="1" applyBorder="1" applyAlignment="1">
      <x:alignment horizontal="center" vertical="center"/>
    </x:xf>
    <x:xf numFmtId="203" fontId="4" fillId="7" borderId="0" xfId="0" applyNumberFormat="1" applyFont="1" applyFill="1" applyBorder="1"/>
    <x:xf numFmtId="203" fontId="4" fillId="7" borderId="0" xfId="0" applyNumberFormat="1" applyFont="1" applyFill="1" applyBorder="1" applyAlignment="1">
      <x:alignment horizontal="center"/>
    </x:xf>
    <x:xf numFmtId="203" fontId="4" fillId="7" borderId="0" xfId="0" applyNumberFormat="1" applyFont="1" applyFill="1" applyBorder="1" applyAlignment="1">
      <x:alignment horizontal="center" vertical="center"/>
    </x:xf>
    <x:xf numFmtId="203" fontId="0" fillId="0"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right"/>
    </x:xf>
    <x:xf numFmtId="0" fontId="5" fillId="7" borderId="0" xfId="0" applyNumberFormat="1" applyFont="1" applyFill="1" applyBorder="1"/>
    <x:xf numFmtId="0" fontId="5" fillId="7" borderId="0" xfId="0" applyNumberFormat="1" applyFont="1" applyFill="1" applyBorder="1" applyAlignment="1">
      <x:alignment horizontal="center"/>
    </x:xf>
    <x:xf numFmtId="0" fontId="1" fillId="3" borderId="0" xfId="0" applyNumberFormat="1" applyFont="1" applyFill="1" applyBorder="1"/>
    <x:xf numFmtId="0" fontId="1" fillId="3" borderId="0" xfId="0" applyNumberFormat="1" applyFont="1" applyFill="1" applyBorder="1" applyAlignment="1">
      <x:alignment horizontal="left"/>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204" fontId="4" fillId="5" borderId="0" xfId="0" applyNumberFormat="1" applyFont="1" applyFill="1" applyBorder="1"/>
    <x:xf numFmtId="204" fontId="4" fillId="5" borderId="0" xfId="0" applyNumberFormat="1" applyFont="1" applyFill="1" applyBorder="1" applyAlignment="1">
      <x:alignment horizontal="center"/>
    </x:xf>
    <x:xf numFmtId="204" fontId="4" fillId="5" borderId="0" xfId="0" applyNumberFormat="1" applyFont="1" applyFill="1" applyBorder="1" applyAlignment="1">
      <x:alignment horizontal="center" vertical="center"/>
    </x:xf>
    <x:xf numFmtId="205" fontId="4" fillId="7" borderId="0" xfId="0" applyNumberFormat="1" applyFont="1" applyFill="1" applyBorder="1"/>
    <x:xf numFmtId="205" fontId="4" fillId="7" borderId="0" xfId="0" applyNumberFormat="1" applyFont="1" applyFill="1" applyBorder="1" applyAlignment="1">
      <x:alignment horizontal="center"/>
    </x:xf>
    <x:xf numFmtId="205" fontId="4" fillId="7" borderId="0" xfId="0" applyNumberFormat="1" applyFont="1" applyFill="1" applyBorder="1" applyAlignment="1">
      <x:alignment horizontal="center" vertical="center"/>
    </x:xf>
    <x:xf numFmtId="204" fontId="4" fillId="8" borderId="0" xfId="0" applyNumberFormat="1" applyFont="1" applyFill="1" applyBorder="1"/>
    <x:xf numFmtId="204" fontId="4" fillId="8" borderId="0" xfId="0" applyNumberFormat="1" applyFont="1" applyFill="1" applyBorder="1" applyAlignment="1">
      <x:alignment horizontal="center"/>
    </x:xf>
    <x:xf numFmtId="204" fontId="4" fillId="8" borderId="0" xfId="0" applyNumberFormat="1" applyFont="1" applyFill="1" applyBorder="1" applyAlignment="1">
      <x:alignment horizontal="center" vertical="center"/>
    </x:xf>
    <x:xf numFmtId="202" fontId="4" fillId="6" borderId="0" xfId="0" applyNumberFormat="1" applyFont="1" applyFill="1" applyBorder="1"/>
    <x:xf numFmtId="202" fontId="4" fillId="6" borderId="0" xfId="0" applyNumberFormat="1" applyFont="1" applyFill="1" applyBorder="1" applyAlignment="1">
      <x:alignment horizontal="center"/>
    </x:xf>
    <x:xf numFmtId="202" fontId="4" fillId="6" borderId="0" xfId="0" applyNumberFormat="1" applyFont="1" applyFill="1" applyBorder="1" applyAlignment="1">
      <x:alignment horizontal="center" vertical="center"/>
    </x:xf>
    <x:xf numFmtId="205" fontId="0" fillId="0"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8" fillId="6" borderId="0" xfId="0" applyNumberFormat="1" applyFont="1" applyFill="1" applyBorder="1"/>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0" fillId="0" borderId="2" xfId="0" applyNumberFormat="1" applyFont="1" applyFill="1" applyBorder="1"/>
    <x:xf numFmtId="203" fontId="0" fillId="0" borderId="2" xfId="0" applyNumberFormat="1" applyFont="1" applyFill="1" applyBorder="1"/>
    <x:xf numFmtId="205" fontId="0" fillId="0" borderId="2" xfId="0" applyNumberFormat="1" applyFont="1" applyFill="1" applyBorder="1"/>
    <x:xf numFmtId="0" fontId="0" fillId="2" borderId="2" xfId="0" applyNumberFormat="1" applyFont="1" applyFill="1" applyBorder="1"/>
    <x:xf numFmtId="0" fontId="1" fillId="2" borderId="2" xfId="0" applyNumberFormat="1" applyFont="1" applyFill="1" applyBorder="1"/>
  </x:cellXfs>
  <x:cellStyles count="1">
    <x:cellStyle name="Normal" xfId="0"/>
  </x:cellStyles>
  <x:dxfs count="4">
    <x:dxf>
      <x:font>
        <x:b/>
        <x:color rgb="FFC00000"/>
      </x:font>
      <x:fill>
        <x:patternFill patternType="solid">
          <x:bgColor rgb="FFFCE4D6"/>
        </x:patternFill>
      </x:fill>
    </x:dxf>
    <x:dxf>
      <x:font>
        <x:color rgb="FFC00000"/>
      </x:font>
      <x:fill>
        <x:patternFill patternType="solid">
          <x:bgColor rgb="FFF4CCCC"/>
        </x:patternFill>
      </x:fill>
    </x:dxf>
    <x:dxf>
      <x:font>
        <x:b/>
        <x:color rgb="FF70AD47"/>
      </x:font>
      <x:fill>
        <x:patternFill patternType="solid">
          <x:bgColor rgb="FFE2F0D9"/>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f7d00ea6a74ea3" /><Relationship Type="http://schemas.openxmlformats.org/officeDocument/2006/relationships/theme" Target="/xl/theme/theme1.xml" Id="R6392f5b3297843dc" /><Relationship Type="http://schemas.openxmlformats.org/officeDocument/2006/relationships/sharedStrings" Target="/xl/sharedStrings.xml" Id="R30058089d0034255" /><Relationship Type="http://schemas.openxmlformats.org/officeDocument/2006/relationships/worksheet" Target="/xl/worksheets/sheet1.xml" Id="Re67a0a10ef574142" /><Relationship Type="http://schemas.openxmlformats.org/officeDocument/2006/relationships/worksheet" Target="/xl/worksheets/sheet2.xml" Id="R9d6ed6a82134483f" /><Relationship Type="http://schemas.openxmlformats.org/officeDocument/2006/relationships/worksheet" Target="/xl/worksheets/sheet3.xml" Id="R258ef48190574fb4" /><Relationship Type="http://schemas.openxmlformats.org/officeDocument/2006/relationships/worksheet" Target="/xl/worksheets/sheet4.xml" Id="Re343ff34c33545f2" /><Relationship Type="http://schemas.openxmlformats.org/officeDocument/2006/relationships/worksheet" Target="/xl/worksheets/sheet5.xml" Id="R50a135f84ab1448b" /><Relationship Type="http://schemas.openxmlformats.org/officeDocument/2006/relationships/worksheet" Target="/xl/worksheets/sheet6.xml" Id="Rdcb459d0584f4119" /><Relationship Type="http://schemas.openxmlformats.org/officeDocument/2006/relationships/worksheet" Target="/xl/worksheets/sheet7.xml" Id="Re7b77f5be10d49e0" /><Relationship Type="http://schemas.openxmlformats.org/officeDocument/2006/relationships/worksheet" Target="/xl/worksheets/sheet8.xml" Id="R4500e72c42aa4f44" /></Relationships>
</file>

<file path=xl/drawings/_rels/drawing1.xml.rels>&#65279;<?xml version="1.0" encoding="utf-8"?><Relationships xmlns="http://schemas.openxmlformats.org/package/2006/relationships"><Relationship Type="http://schemas.openxmlformats.org/officeDocument/2006/relationships/chart" Target="/xl/drawings/charts/chart1.xml" Id="R77098a209b114841" /><Relationship Type="http://schemas.openxmlformats.org/officeDocument/2006/relationships/chart" Target="/xl/drawings/charts/chart2.xml" Id="R0629f70a8cae44e3" /><Relationship Type="http://schemas.openxmlformats.org/officeDocument/2006/relationships/chart" Target="/xl/drawings/charts/chart3.xml" Id="R7f5f11efd3a94a23" /><Relationship Type="http://schemas.openxmlformats.org/officeDocument/2006/relationships/chart" Target="/xl/drawings/charts/chart4.xml" Id="Rb82f6ae7cba64e73" /><Relationship Type="http://schemas.openxmlformats.org/officeDocument/2006/relationships/chart" Target="/xl/drawings/charts/chart5.xml" Id="Ra574575720d94b2c" /><Relationship Type="http://schemas.openxmlformats.org/officeDocument/2006/relationships/chart" Target="/xl/drawings/charts/chart6.xml" Id="Re94b694f40fd4357" /></Relationships>
</file>

<file path=xl/drawings/_rels/drawing2.xml.rels>&#65279;<?xml version="1.0" encoding="utf-8"?><Relationships xmlns="http://schemas.openxmlformats.org/package/2006/relationships"><Relationship Type="http://schemas.openxmlformats.org/officeDocument/2006/relationships/chart" Target="/xl/drawings/charts/chart7.xml" Id="R02aeace21b6c452c" /><Relationship Type="http://schemas.openxmlformats.org/officeDocument/2006/relationships/chart" Target="/xl/drawings/charts/chart8.xml" Id="R00012e3a14f14078" /><Relationship Type="http://schemas.openxmlformats.org/officeDocument/2006/relationships/chart" Target="/xl/drawings/charts/chart9.xml" Id="R9bd9488376ee434b" /><Relationship Type="http://schemas.openxmlformats.org/officeDocument/2006/relationships/chart" Target="/xl/drawings/charts/chart10.xml" Id="R3021df29e8a14c46" /><Relationship Type="http://schemas.openxmlformats.org/officeDocument/2006/relationships/chart" Target="/xl/drawings/charts/chart11.xml" Id="Rd31efa774479452c" /><Relationship Type="http://schemas.openxmlformats.org/officeDocument/2006/relationships/chart" Target="/xl/drawings/charts/chart12.xml" Id="R75195d931d804d46" /></Relationships>
</file>

<file path=xl/drawings/_rels/drawing3.xml.rels>&#65279;<?xml version="1.0" encoding="utf-8"?><Relationships xmlns="http://schemas.openxmlformats.org/package/2006/relationships"><Relationship Type="http://schemas.openxmlformats.org/officeDocument/2006/relationships/chart" Target="/xl/drawings/charts/chart13.xml" Id="Rb71ac1c5073546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Facturación diaria ($)</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Facturación</c:v>
          </c:tx>
          <c:spPr>
            <a:solidFill xmlns:a="http://schemas.openxmlformats.org/drawingml/2006/main">
              <a:srgbClr val="1F4E78"/>
            </a:solidFill>
          </c:spPr>
          <c:marker>
            <c:symbol val="none"/>
          </c:marker>
          <c:cat>
            <c:strRef>
              <c:f>'Dashboard Ventas'!$S$3:$S$9</c:f>
              <c:strCache>
                <c:ptCount val="0"/>
              </c:strCache>
            </c:strRef>
          </c:cat>
          <c:val>
            <c:numRef>
              <c:f>'Dashboard Ventas'!$T$3:$T$9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Ranking interactivo por marca</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Métrica seleccionada</c:v>
          </c:tx>
          <c:spPr>
            <a:solidFill xmlns:a="http://schemas.openxmlformats.org/drawingml/2006/main">
              <a:srgbClr val="F28C28"/>
            </a:solidFill>
          </c:spPr>
          <c:cat>
            <c:strRef>
              <c:f>'Dashboard Ventas'!$S$13:$S$19</c:f>
              <c:strCache>
                <c:ptCount val="0"/>
              </c:strCache>
            </c:strRef>
          </c:cat>
          <c:val>
            <c:numRef>
              <c:f>'Dashboard Ventas'!$T$13:$T$19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Facturación por tipo de envío</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Facturación</c:v>
          </c:tx>
          <c:cat>
            <c:strRef>
              <c:f>'Dashboard Ventas'!$Y$3:$Y$5</c:f>
              <c:strCache>
                <c:ptCount val="0"/>
              </c:strCache>
            </c:strRef>
          </c:cat>
          <c:val>
            <c:numRef>
              <c:f>'Dashboard Ventas'!$Z$3:$Z$5</c:f>
              <c:numCache>
                <c:formatCode>"$"#,##0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Facturación por método de pago ($)</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Facturación</c:v>
          </c:tx>
          <c:spPr>
            <a:solidFill xmlns:a="http://schemas.openxmlformats.org/drawingml/2006/main">
              <a:srgbClr val="1F4E78"/>
            </a:solidFill>
          </c:spPr>
          <c:cat>
            <c:strRef>
              <c:f>'Dashboard Ventas'!$Y$9:$Y$12</c:f>
              <c:strCache>
                <c:ptCount val="0"/>
              </c:strCache>
            </c:strRef>
          </c:cat>
          <c:val>
            <c:numRef>
              <c:f>'Dashboard Ventas'!$Z$9:$Z$12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Facturación con y sin promoción</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Facturación</c:v>
          </c:tx>
          <c:cat>
            <c:strRef>
              <c:f>'Dashboard Ventas'!$S$24:$S$25</c:f>
              <c:strCache>
                <c:ptCount val="0"/>
              </c:strCache>
            </c:strRef>
          </c:cat>
          <c:val>
            <c:numRef>
              <c:f>'Dashboard Ventas'!$T$24:$T$25</c:f>
              <c:numCache>
                <c:formatCode>"$"#,##0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Unidades por medida · Top 10</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Unidades</c:v>
          </c:tx>
          <c:spPr>
            <a:solidFill xmlns:a="http://schemas.openxmlformats.org/drawingml/2006/main">
              <a:srgbClr val="70AD47"/>
            </a:solidFill>
          </c:spPr>
          <c:cat>
            <c:strRef>
              <c:f>'Dashboard Ventas'!$Y$17:$Y$26</c:f>
              <c:strCache>
                <c:ptCount val="0"/>
              </c:strCache>
            </c:strRef>
          </c:cat>
          <c:val>
            <c:numRef>
              <c:f>'Dashboard Ventas'!$Z$17:$Z$26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Búsquedas y clicks por día</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Búsquedas</c:v>
          </c:tx>
          <c:spPr>
            <a:solidFill xmlns:a="http://schemas.openxmlformats.org/drawingml/2006/main">
              <a:srgbClr val="1F4E78"/>
            </a:solidFill>
          </c:spPr>
          <c:marker>
            <c:symbol val="none"/>
          </c:marker>
          <c:cat>
            <c:strRef>
              <c:f>'Dashboard Búsquedas'!$R$3:$R$10</c:f>
              <c:strCache>
                <c:ptCount val="0"/>
              </c:strCache>
            </c:strRef>
          </c:cat>
          <c:val>
            <c:numRef>
              <c:f>'Dashboard Búsquedas'!$S$3:$S$10</c:f>
              <c:numCache>
                <c:formatCode>#,##0</c:formatCode>
                <c:ptCount val="0"/>
              </c:numCache>
            </c:numRef>
          </c:val>
          <c:smooth val="0"/>
        </c:ser>
        <c:ser>
          <c:idx val="1"/>
          <c:order val="1"/>
          <c:tx>
            <c:v>Clicks</c:v>
          </c:tx>
          <c:spPr>
            <a:solidFill xmlns:a="http://schemas.openxmlformats.org/drawingml/2006/main">
              <a:srgbClr val="F28C28"/>
            </a:solidFill>
          </c:spPr>
          <c:marker>
            <c:symbol val="none"/>
          </c:marker>
          <c:cat>
            <c:strRef>
              <c:f>'Dashboard Búsquedas'!$R$3:$R$10</c:f>
              <c:strCache>
                <c:ptCount val="0"/>
              </c:strCache>
            </c:strRef>
          </c:cat>
          <c:val>
            <c:numRef>
              <c:f>'Dashboard Búsquedas'!$T$3:$T$10</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CTR diario</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CTR</c:v>
          </c:tx>
          <c:marker>
            <c:symbol val="none"/>
          </c:marker>
          <c:cat>
            <c:strRef>
              <c:f>'Dashboard Búsquedas'!$V$14:$V$21</c:f>
              <c:strCache>
                <c:ptCount val="0"/>
              </c:strCache>
            </c:strRef>
          </c:cat>
          <c:val>
            <c:numRef>
              <c:f>'Dashboard Búsquedas'!$W$14:$W$21</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Términos con más búsquedas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Búsquedas</c:v>
          </c:tx>
          <c:spPr>
            <a:solidFill xmlns:a="http://schemas.openxmlformats.org/drawingml/2006/main">
              <a:srgbClr val="1F4E78"/>
            </a:solidFill>
          </c:spPr>
          <c:cat>
            <c:strRef>
              <c:f>'Dashboard Búsquedas'!$R$14:$R$23</c:f>
              <c:strCache>
                <c:ptCount val="0"/>
              </c:strCache>
            </c:strRef>
          </c:cat>
          <c:val>
            <c:numRef>
              <c:f>'Dashboard Búsquedas'!$S$14:$S$23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Términos con más clicks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Clicks</c:v>
          </c:tx>
          <c:spPr>
            <a:solidFill xmlns:a="http://schemas.openxmlformats.org/drawingml/2006/main">
              <a:srgbClr val="F28C28"/>
            </a:solidFill>
          </c:spPr>
          <c:cat>
            <c:strRef>
              <c:f>'Dashboard Búsquedas'!$X$14:$X$23</c:f>
              <c:strCache>
                <c:ptCount val="0"/>
              </c:strCache>
            </c:strRef>
          </c:cat>
          <c:val>
            <c:numRef>
              <c:f>'Dashboard Búsquedas'!$Y$14:$Y$23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Demanda sin clicks · oportunidad</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Búsquedas</c:v>
          </c:tx>
          <c:spPr>
            <a:solidFill xmlns:a="http://schemas.openxmlformats.org/drawingml/2006/main">
              <a:srgbClr val="C00000"/>
            </a:solidFill>
          </c:spPr>
          <c:cat>
            <c:strRef>
              <c:f>'Dashboard Búsquedas'!$R$27:$R$36</c:f>
              <c:strCache>
                <c:ptCount val="0"/>
              </c:strCache>
            </c:strRef>
          </c:cat>
          <c:val>
            <c:numRef>
              <c:f>'Dashboard Búsquedas'!$S$27:$S$36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Distribución de búsquedas por intención</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Búsquedas</c:v>
          </c:tx>
          <c:cat>
            <c:strRef>
              <c:f>'Dashboard Búsquedas'!$R$40:$R$44</c:f>
              <c:strCache>
                <c:ptCount val="0"/>
              </c:strCache>
            </c:strRef>
          </c:cat>
          <c:val>
            <c:numRef>
              <c:f>'Dashboard Búsquedas'!$S$40:$S$44</c:f>
              <c:numCache>
                <c:formatCode>#,##0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Cantidad de servicios incluidos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Cantidad</c:v>
          </c:tx>
          <c:spPr>
            <a:solidFill xmlns:a="http://schemas.openxmlformats.org/drawingml/2006/main">
              <a:srgbClr val="F28C28"/>
            </a:solidFill>
          </c:spPr>
          <c:cat>
            <c:strRef>
              <c:f>'Servicios y extras'!$J$8:$J$9</c:f>
              <c:strCache>
                <c:ptCount val="0"/>
              </c:strCache>
            </c:strRef>
          </c:cat>
          <c:val>
            <c:numRef>
              <c:f>'Servicios y extras'!$K$8:$K$9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098a209b114841"/>
        </a:graphicData>
      </a:graphic>
    </xdr:graphicFrame>
    <xdr:clientData/>
  </xdr:twoCellAnchor>
  <xdr:twoCellAnchor>
    <xdr:from>
      <xdr:col>8</xdr:col>
      <xdr:colOff>0</xdr:colOff>
      <xdr:row>11</xdr:row>
      <xdr:rowOff>0</xdr:rowOff>
    </xdr:from>
    <xdr:to>
      <xdr:col>16</xdr:col>
      <xdr:colOff>0</xdr:colOff>
      <xdr:row>27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29f70a8cae44e3"/>
        </a:graphicData>
      </a:graphic>
    </xdr:graphicFrame>
    <xdr:clientData/>
  </xdr:twoCellAnchor>
  <xdr:twoCellAnchor>
    <xdr:from>
      <xdr:col>0</xdr:col>
      <xdr:colOff>0</xdr:colOff>
      <xdr:row>28</xdr:row>
      <xdr:rowOff>0</xdr:rowOff>
    </xdr:from>
    <xdr:to>
      <xdr:col>8</xdr:col>
      <xdr:colOff>0</xdr:colOff>
      <xdr:row>43</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5f11efd3a94a23"/>
        </a:graphicData>
      </a:graphic>
    </xdr:graphicFrame>
    <xdr:clientData/>
  </xdr:twoCellAnchor>
  <xdr:twoCellAnchor>
    <xdr:from>
      <xdr:col>8</xdr:col>
      <xdr:colOff>0</xdr:colOff>
      <xdr:row>28</xdr:row>
      <xdr:rowOff>0</xdr:rowOff>
    </xdr:from>
    <xdr:to>
      <xdr:col>16</xdr:col>
      <xdr:colOff>0</xdr:colOff>
      <xdr:row>43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2f6ae7cba64e73"/>
        </a:graphicData>
      </a:graphic>
    </xdr:graphicFrame>
    <xdr:clientData/>
  </xdr:twoCellAnchor>
  <xdr:twoCellAnchor>
    <xdr:from>
      <xdr:col>0</xdr:col>
      <xdr:colOff>0</xdr:colOff>
      <xdr:row>44</xdr:row>
      <xdr:rowOff>0</xdr:rowOff>
    </xdr:from>
    <xdr:to>
      <xdr:col>8</xdr:col>
      <xdr:colOff>0</xdr:colOff>
      <xdr:row>59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74575720d94b2c"/>
        </a:graphicData>
      </a:graphic>
    </xdr:graphicFrame>
    <xdr:clientData/>
  </xdr:twoCellAnchor>
  <xdr:twoCellAnchor>
    <xdr:from>
      <xdr:col>8</xdr:col>
      <xdr:colOff>0</xdr:colOff>
      <xdr:row>44</xdr:row>
      <xdr:rowOff>0</xdr:rowOff>
    </xdr:from>
    <xdr:to>
      <xdr:col>16</xdr:col>
      <xdr:colOff>0</xdr:colOff>
      <xdr:row>59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4b694f40fd4357"/>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aeace21b6c452c"/>
        </a:graphicData>
      </a:graphic>
    </xdr:graphicFrame>
    <xdr:clientData/>
  </xdr:twoCellAnchor>
  <xdr:twoCellAnchor>
    <xdr:from>
      <xdr:col>8</xdr:col>
      <xdr:colOff>0</xdr:colOff>
      <xdr:row>11</xdr:row>
      <xdr:rowOff>0</xdr:rowOff>
    </xdr:from>
    <xdr:to>
      <xdr:col>16</xdr:col>
      <xdr:colOff>0</xdr:colOff>
      <xdr:row>27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012e3a14f14078"/>
        </a:graphicData>
      </a:graphic>
    </xdr:graphicFrame>
    <xdr:clientData/>
  </xdr:twoCellAnchor>
  <xdr:twoCellAnchor>
    <xdr:from>
      <xdr:col>0</xdr:col>
      <xdr:colOff>0</xdr:colOff>
      <xdr:row>28</xdr:row>
      <xdr:rowOff>0</xdr:rowOff>
    </xdr:from>
    <xdr:to>
      <xdr:col>8</xdr:col>
      <xdr:colOff>0</xdr:colOff>
      <xdr:row>43</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d9488376ee434b"/>
        </a:graphicData>
      </a:graphic>
    </xdr:graphicFrame>
    <xdr:clientData/>
  </xdr:twoCellAnchor>
  <xdr:twoCellAnchor>
    <xdr:from>
      <xdr:col>8</xdr:col>
      <xdr:colOff>0</xdr:colOff>
      <xdr:row>28</xdr:row>
      <xdr:rowOff>0</xdr:rowOff>
    </xdr:from>
    <xdr:to>
      <xdr:col>16</xdr:col>
      <xdr:colOff>0</xdr:colOff>
      <xdr:row>43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21df29e8a14c46"/>
        </a:graphicData>
      </a:graphic>
    </xdr:graphicFrame>
    <xdr:clientData/>
  </xdr:twoCellAnchor>
  <xdr:twoCellAnchor>
    <xdr:from>
      <xdr:col>0</xdr:col>
      <xdr:colOff>0</xdr:colOff>
      <xdr:row>44</xdr:row>
      <xdr:rowOff>0</xdr:rowOff>
    </xdr:from>
    <xdr:to>
      <xdr:col>8</xdr:col>
      <xdr:colOff>0</xdr:colOff>
      <xdr:row>59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1efa774479452c"/>
        </a:graphicData>
      </a:graphic>
    </xdr:graphicFrame>
    <xdr:clientData/>
  </xdr:twoCellAnchor>
  <xdr:twoCellAnchor>
    <xdr:from>
      <xdr:col>8</xdr:col>
      <xdr:colOff>0</xdr:colOff>
      <xdr:row>44</xdr:row>
      <xdr:rowOff>0</xdr:rowOff>
    </xdr:from>
    <xdr:to>
      <xdr:col>16</xdr:col>
      <xdr:colOff>0</xdr:colOff>
      <xdr:row>59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195d931d804d46"/>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24</xdr:row>
      <xdr:rowOff>0</xdr:rowOff>
    </xdr:from>
    <xdr:to>
      <xdr:col>7</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1ac1c5073546bf"/>
        </a:graphicData>
      </a:graphic>
    </xdr:graphicFrame>
    <xdr:clientData/>
  </xdr:twoCellAnchor>
</xdr:wsDr>
</file>

<file path=xl/tables/table1.xml><?xml version="1.0" encoding="utf-8"?>
<x:table xmlns:x="http://schemas.openxmlformats.org/spreadsheetml/2006/main" id="5" name="ServiciosAdicionales" displayName="ServiciosAdicionales" ref="A7:H9" headerRowCount="1" totalsRowCount="0" totalsRowShown="0">
  <x:tableColumns count="8">
    <x:tableColumn id="1" name="ID operación"/>
    <x:tableColumn id="2" name="Fecha"/>
    <x:tableColumn id="3" name="Producto principal"/>
    <x:tableColumn id="4" name="Unidades producto"/>
    <x:tableColumn id="5" name="Servicio"/>
    <x:tableColumn id="6" name="Cantidad"/>
    <x:tableColumn id="7" name="Importe total operación"/>
    <x:tableColumn id="8" name="Importe del servicio"/>
  </x:tableColumns>
  <x:tableStyleInfo name="TableStyleMedium2" showFirstColumn="0" showLastColumn="0" showRowStripes="1" showColumnStripes="0"/>
</x:table>
</file>

<file path=xl/tables/table2.xml><?xml version="1.0" encoding="utf-8"?>
<x:table xmlns:x="http://schemas.openxmlformats.org/spreadsheetml/2006/main" id="6" name="ProductosCombinados" displayName="ProductosCombinados" ref="A17:G19" headerRowCount="1" totalsRowCount="0" totalsRowShown="0">
  <x:tableColumns count="7">
    <x:tableColumn id="1" name="ID operación"/>
    <x:tableColumn id="2" name="Fecha"/>
    <x:tableColumn id="3" name="Marca"/>
    <x:tableColumn id="4" name="Producto / medida"/>
    <x:tableColumn id="5" name="Cantidad"/>
    <x:tableColumn id="6" name="Importe total operación"/>
    <x:tableColumn id="7" name="Importe por producto"/>
  </x:tableColumns>
  <x:tableStyleInfo name="TableStyleMedium2" showFirstColumn="0" showLastColumn="0" showRowStripes="1" showColumnStripes="0"/>
</x:table>
</file>

<file path=xl/tables/table3.xml><?xml version="1.0" encoding="utf-8"?>
<x:table xmlns:x="http://schemas.openxmlformats.org/spreadsheetml/2006/main" id="1" name="DatosVentas" displayName="DatosVentas" ref="A1:T19" headerRowCount="1" totalsRowCount="0" totalsRowShown="0">
  <x:autoFilter ref="A1:T19"/>
  <x:tableColumns count="20">
    <x:tableColumn id="1" name="ID operación"/>
    <x:tableColumn id="2" name="Fecha"/>
    <x:tableColumn id="3" name="Día"/>
    <x:tableColumn id="4" name="Importe"/>
    <x:tableColumn id="5" name="Marca original"/>
    <x:tableColumn id="6" name="Marca normalizada"/>
    <x:tableColumn id="7" name="Segmento"/>
    <x:tableColumn id="8" name="Medida original"/>
    <x:tableColumn id="9" name="Medida principal"/>
    <x:tableColumn id="10" name="Unidades neumáticos"/>
    <x:tableColumn id="11" name="Tipo de venta"/>
    <x:tableColumn id="12" name="Servicios incluidos"/>
    <x:tableColumn id="13" name="Unidades de servicio"/>
    <x:tableColumn id="14" name="Alineaciones"/>
    <x:tableColumn id="15" name="Balanceos"/>
    <x:tableColumn id="16" name="Tipo de envío"/>
    <x:tableColumn id="17" name="Promoción"/>
    <x:tableColumn id="18" name="Con promoción"/>
    <x:tableColumn id="19" name="Método de pago"/>
    <x:tableColumn id="20" name="Observaciones"/>
  </x:tableColumns>
  <x:tableStyleInfo name="TableStyleMedium2" showFirstColumn="0" showLastColumn="0" showRowStripes="1" showColumnStripes="0"/>
</x:table>
</file>

<file path=xl/tables/table4.xml><?xml version="1.0" encoding="utf-8"?>
<x:table xmlns:x="http://schemas.openxmlformats.org/spreadsheetml/2006/main" id="2" name="ProductosVendidos" displayName="ProductosVendidos" ref="A1:J20" headerRowCount="1" totalsRowCount="0" totalsRowShown="0">
  <x:tableColumns count="10">
    <x:tableColumn id="1" name="ID operación"/>
    <x:tableColumn id="2" name="Fecha"/>
    <x:tableColumn id="3" name="Marca"/>
    <x:tableColumn id="4" name="Segmento"/>
    <x:tableColumn id="5" name="Medida"/>
    <x:tableColumn id="6" name="Unidades"/>
    <x:tableColumn id="7" name="Tipo de línea"/>
    <x:tableColumn id="8" name="Importe operación"/>
    <x:tableColumn id="9" name="Importe atribuible al producto"/>
    <x:tableColumn id="10" name="Nota"/>
  </x:tableColumns>
  <x:tableStyleInfo name="TableStyleMedium2" showFirstColumn="0" showLastColumn="0" showRowStripes="1" showColumnStripes="0"/>
</x:table>
</file>

<file path=xl/tables/table5.xml><?xml version="1.0" encoding="utf-8"?>
<x:table xmlns:x="http://schemas.openxmlformats.org/spreadsheetml/2006/main" id="3" name="DatosBusquedas" displayName="DatosBusquedas" ref="A1:J900" headerRowCount="1" totalsRowCount="0" totalsRowShown="0">
  <x:tableColumns count="10">
    <x:tableColumn id="1" name="Término"/>
    <x:tableColumn id="2" name="Tipo de término"/>
    <x:tableColumn id="3" name="Búsquedas"/>
    <x:tableColumn id="4" name="Búsquedas únicas"/>
    <x:tableColumn id="5" name="Clicks"/>
    <x:tableColumn id="6" name="Clicks únicos"/>
    <x:tableColumn id="7" name="CTR"/>
    <x:tableColumn id="8" name="Conversión"/>
    <x:tableColumn id="9" name="Órdenes"/>
    <x:tableColumn id="10" name="Ventas atribuidas"/>
  </x:tableColumns>
  <x:tableStyleInfo name="TableStyleMedium2" showFirstColumn="0" showLastColumn="0" showRowStripes="1" showColumnStripes="0"/>
</x:table>
</file>

<file path=xl/tables/table6.xml><?xml version="1.0" encoding="utf-8"?>
<x:table xmlns:x="http://schemas.openxmlformats.org/spreadsheetml/2006/main" id="4" name="DatosBusquedasDiarias" displayName="DatosBusquedasDiarias" ref="A1:I9" headerRowCount="1" totalsRowCount="0" totalsRowShown="0">
  <x:tableColumns count="9">
    <x:tableColumn id="1" name="Fecha"/>
    <x:tableColumn id="2" name="Búsquedas"/>
    <x:tableColumn id="3" name="Búsquedas únicas"/>
    <x:tableColumn id="4" name="Clicks"/>
    <x:tableColumn id="5" name="Clicks únicos"/>
    <x:tableColumn id="6" name="CTR"/>
    <x:tableColumn id="7" name="Conversión"/>
    <x:tableColumn id="8" name="Órdenes"/>
    <x:tableColumn id="9" name="Ventas atribuida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c5a7a78b94f40ce" /></Relationships>
</file>

<file path=xl/worksheets/_rels/sheet2.xml.rels>&#65279;<?xml version="1.0" encoding="utf-8"?><Relationships xmlns="http://schemas.openxmlformats.org/package/2006/relationships"><Relationship Type="http://schemas.openxmlformats.org/officeDocument/2006/relationships/drawing" Target="/xl/drawings/drawing2.xml" Id="R406ed291071a4a3d" /></Relationships>
</file>

<file path=xl/worksheets/_rels/sheet3.xml.rels>&#65279;<?xml version="1.0" encoding="utf-8"?><Relationships xmlns="http://schemas.openxmlformats.org/package/2006/relationships"><Relationship Type="http://schemas.openxmlformats.org/officeDocument/2006/relationships/drawing" Target="/xl/drawings/drawing3.xml" Id="R0f1e84f644e14f85" /><Relationship Type="http://schemas.openxmlformats.org/officeDocument/2006/relationships/table" Target="/xl/tables/table1.xml" Id="Rd37cbfd471cc4f07" /><Relationship Type="http://schemas.openxmlformats.org/officeDocument/2006/relationships/table" Target="/xl/tables/table2.xml" Id="R3724e26f7ee240b6" /></Relationships>
</file>

<file path=xl/worksheets/_rels/sheet4.xml.rels>&#65279;<?xml version="1.0" encoding="utf-8"?><Relationships xmlns="http://schemas.openxmlformats.org/package/2006/relationships"><Relationship Type="http://schemas.openxmlformats.org/officeDocument/2006/relationships/table" Target="/xl/tables/table3.xml" Id="R156d828cbbb84ea7" /></Relationships>
</file>

<file path=xl/worksheets/_rels/sheet5.xml.rels>&#65279;<?xml version="1.0" encoding="utf-8"?><Relationships xmlns="http://schemas.openxmlformats.org/package/2006/relationships"><Relationship Type="http://schemas.openxmlformats.org/officeDocument/2006/relationships/table" Target="/xl/tables/table4.xml" Id="R4cc17f37479b4567" /></Relationships>
</file>

<file path=xl/worksheets/_rels/sheet6.xml.rels>&#65279;<?xml version="1.0" encoding="utf-8"?><Relationships xmlns="http://schemas.openxmlformats.org/package/2006/relationships"><Relationship Type="http://schemas.openxmlformats.org/officeDocument/2006/relationships/table" Target="/xl/tables/table5.xml" Id="Rf24a5905d52945fe" /></Relationships>
</file>

<file path=xl/worksheets/_rels/sheet7.xml.rels>&#65279;<?xml version="1.0" encoding="utf-8"?><Relationships xmlns="http://schemas.openxmlformats.org/package/2006/relationships"><Relationship Type="http://schemas.openxmlformats.org/officeDocument/2006/relationships/table" Target="/xl/tables/table6.xml" Id="R4f1bc7ae03e54c6f"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ht="27" customHeight="1">
      <x:c r="A1" s="14" t="str">
        <x:v>REPORTE SEMANAL VTEX · VENTAS</x:v>
      </x:c>
      <x:c r="B1" s="14"/>
      <x:c r="C1" s="14"/>
      <x:c r="D1" s="14"/>
      <x:c r="E1" s="14"/>
      <x:c r="F1" s="14"/>
      <x:c r="G1" s="14"/>
      <x:c r="H1" s="14"/>
      <x:c r="I1" s="14"/>
      <x:c r="J1" s="14"/>
      <x:c r="K1" s="14"/>
      <x:c r="L1" s="14"/>
      <x:c r="M1" s="14"/>
      <x:c r="N1" s="14"/>
      <x:c r="O1" s="14"/>
      <x:c r="P1" s="14"/>
    </x:row>
    <x:row r="2" ht="27" customHeight="1">
      <x:c r="A2" s="14"/>
      <x:c r="B2" s="14"/>
      <x:c r="C2" s="14"/>
      <x:c r="D2" s="14"/>
      <x:c r="E2" s="14"/>
      <x:c r="F2" s="14"/>
      <x:c r="G2" s="14"/>
      <x:c r="H2" s="14"/>
      <x:c r="I2" s="14"/>
      <x:c r="J2" s="14"/>
      <x:c r="K2" s="14"/>
      <x:c r="L2" s="14"/>
      <x:c r="M2" s="14"/>
      <x:c r="N2" s="14"/>
      <x:c r="O2" s="14"/>
      <x:c r="P2" s="14"/>
      <x:c r="S2" s="103" t="str">
        <x:v>Día</x:v>
      </x:c>
      <x:c r="T2" s="103" t="str">
        <x:v>Facturación</x:v>
      </x:c>
      <x:c r="U2" s="103" t="str">
        <x:v>Unidades</x:v>
      </x:c>
      <x:c r="V2" s="103" t="str">
        <x:v>Operaciones</x:v>
      </x:c>
      <x:c r="W2" s="103"/>
      <x:c r="X2" s="103"/>
      <x:c r="Y2" s="103" t="str">
        <x:v>Tipo de envío</x:v>
      </x:c>
      <x:c r="Z2" s="103" t="str">
        <x:v>Facturación</x:v>
      </x:c>
    </x:row>
    <x:row r="3" ht="22" customHeight="1">
      <x:c r="A3" s="18" t="str">
        <x:v>Período de ventas: 31/07/2026 al 06/08/2026 · Fuente: Reporte Oline vtex (1) (2).xlsx</x:v>
      </x:c>
      <x:c r="B3" s="18"/>
      <x:c r="C3" s="18"/>
      <x:c r="D3" s="18"/>
      <x:c r="E3" s="18"/>
      <x:c r="F3" s="18"/>
      <x:c r="G3" s="18"/>
      <x:c r="H3" s="18"/>
      <x:c r="I3" s="18"/>
      <x:c r="J3" s="18"/>
      <x:c r="K3" s="18"/>
      <x:c r="L3" s="18"/>
      <x:c r="M3" s="18"/>
      <x:c r="N3" s="18"/>
      <x:c r="O3" s="18"/>
      <x:c r="P3" s="18"/>
      <x:c r="S3" s="99" t="str">
        <x:v>31/07</x:v>
      </x:c>
      <x:c r="T3" s="100" t="n">
        <x:f>SUMIFS('Datos Ventas'!$D$2:$D$19,'Datos Ventas'!$B$2:$B$19,DATE(2026,7,31))</x:f>
        <x:v>955185</x:v>
      </x:c>
      <x:c r="U3" s="99" t="n">
        <x:f>SUMIFS('Datos Ventas'!$J$2:$J$19,'Datos Ventas'!$B$2:$B$19,DATE(2026,7,31))</x:f>
        <x:v>8</x:v>
      </x:c>
      <x:c r="V3" s="99" t="n">
        <x:f>COUNTIFS('Datos Ventas'!$B$2:$B$19,DATE(2026,7,31))</x:f>
        <x:v>2</x:v>
      </x:c>
      <x:c r="W3" s="99"/>
      <x:c r="X3" s="99"/>
      <x:c r="Y3" s="99" t="str">
        <x:v>CDS</x:v>
      </x:c>
      <x:c r="Z3" s="99" t="n">
        <x:f>SUMIF('Datos Ventas'!$P$2:$P$19,Y3,'Datos Ventas'!$D$2:$D$19)</x:f>
        <x:v>4491885.26</x:v>
      </x:c>
    </x:row>
    <x:row r="4">
      <x:c r="A4" s="23" t="str">
        <x:v>FACTURACIÓN TOTAL</x:v>
      </x:c>
      <x:c r="B4" s="23"/>
      <x:c r="C4" s="23"/>
      <x:c r="D4" s="23"/>
      <x:c r="E4" s="32" t="str">
        <x:v>OPERACIONES</x:v>
      </x:c>
      <x:c r="F4" s="32"/>
      <x:c r="G4" s="32"/>
      <x:c r="H4" s="32"/>
      <x:c r="I4" s="41" t="str">
        <x:v>UNIDADES DE NEUMÁTICOS</x:v>
      </x:c>
      <x:c r="J4" s="41"/>
      <x:c r="K4" s="41"/>
      <x:c r="L4" s="41"/>
      <x:c r="M4" s="50" t="str">
        <x:v>TICKET PROMEDIO</x:v>
      </x:c>
      <x:c r="N4" s="50"/>
      <x:c r="O4" s="50"/>
      <x:c r="P4" s="50"/>
      <x:c r="S4" s="99" t="str">
        <x:v>01/08</x:v>
      </x:c>
      <x:c r="T4" s="100" t="n">
        <x:f>SUMIFS('Datos Ventas'!$D$2:$D$19,'Datos Ventas'!$B$2:$B$19,DATE(2026,8,1))</x:f>
        <x:v>1171976.54</x:v>
      </x:c>
      <x:c r="U4" s="99" t="n">
        <x:f>SUMIFS('Datos Ventas'!$J$2:$J$19,'Datos Ventas'!$B$2:$B$19,DATE(2026,8,1))</x:f>
        <x:v>6</x:v>
      </x:c>
      <x:c r="V4" s="99" t="n">
        <x:f>COUNTIFS('Datos Ventas'!$B$2:$B$19,DATE(2026,8,1))</x:f>
        <x:v>3</x:v>
      </x:c>
      <x:c r="W4" s="99"/>
      <x:c r="X4" s="99"/>
      <x:c r="Y4" s="99" t="str">
        <x:v>Retiro en sucursal</x:v>
      </x:c>
      <x:c r="Z4" s="99" t="n">
        <x:f>SUMIF('Datos Ventas'!$P$2:$P$19,Y4,'Datos Ventas'!$D$2:$D$19)</x:f>
        <x:v>4460235</x:v>
      </x:c>
    </x:row>
    <x:row r="5">
      <x:c r="A5" s="27" t="n">
        <x:f>SUM('Datos Ventas'!$D$2:$D$19)</x:f>
        <x:v>9886194.74</x:v>
      </x:c>
      <x:c r="B5" s="27"/>
      <x:c r="C5" s="27"/>
      <x:c r="D5" s="27"/>
      <x:c r="E5" s="36" t="n">
        <x:f>COUNTA('Datos Ventas'!$A$2:$A$19)</x:f>
        <x:v>18</x:v>
      </x:c>
      <x:c r="F5" s="36"/>
      <x:c r="G5" s="36"/>
      <x:c r="H5" s="36"/>
      <x:c r="I5" s="45" t="n">
        <x:f>SUM('Datos Ventas'!$J$2:$J$19)</x:f>
        <x:v>43</x:v>
      </x:c>
      <x:c r="J5" s="45"/>
      <x:c r="K5" s="45"/>
      <x:c r="L5" s="45"/>
      <x:c r="M5" s="54" t="n">
        <x:f>SUM('Datos Ventas'!$D$2:$D$19)/COUNTA('Datos Ventas'!$A$2:$A$19)</x:f>
        <x:v>549233.0411111112</x:v>
      </x:c>
      <x:c r="N5" s="54"/>
      <x:c r="O5" s="54"/>
      <x:c r="P5" s="54"/>
      <x:c r="S5" s="99" t="str">
        <x:v>02/08</x:v>
      </x:c>
      <x:c r="T5" s="100" t="n">
        <x:f>SUMIFS('Datos Ventas'!$D$2:$D$19,'Datos Ventas'!$B$2:$B$19,DATE(2026,8,2))</x:f>
        <x:v>0</x:v>
      </x:c>
      <x:c r="U5" s="99" t="n">
        <x:f>SUMIFS('Datos Ventas'!$J$2:$J$19,'Datos Ventas'!$B$2:$B$19,DATE(2026,8,2))</x:f>
        <x:v>0</x:v>
      </x:c>
      <x:c r="V5" s="99" t="n">
        <x:f>COUNTIFS('Datos Ventas'!$B$2:$B$19,DATE(2026,8,2))</x:f>
        <x:v>0</x:v>
      </x:c>
      <x:c r="W5" s="99"/>
      <x:c r="X5" s="99"/>
      <x:c r="Y5" s="99" t="str">
        <x:v>Flota Propia</x:v>
      </x:c>
      <x:c r="Z5" s="99" t="n">
        <x:f>SUMIF('Datos Ventas'!$P$2:$P$19,Y5,'Datos Ventas'!$D$2:$D$19)</x:f>
        <x:v>934074.48</x:v>
      </x:c>
    </x:row>
    <x:row r="6">
      <x:c r="A6" s="27"/>
      <x:c r="B6" s="27"/>
      <x:c r="C6" s="27"/>
      <x:c r="D6" s="27"/>
      <x:c r="E6" s="36"/>
      <x:c r="F6" s="36"/>
      <x:c r="G6" s="36"/>
      <x:c r="H6" s="36"/>
      <x:c r="I6" s="45"/>
      <x:c r="J6" s="45"/>
      <x:c r="K6" s="45"/>
      <x:c r="L6" s="45"/>
      <x:c r="M6" s="54"/>
      <x:c r="N6" s="54"/>
      <x:c r="O6" s="54"/>
      <x:c r="P6" s="54"/>
      <x:c r="S6" s="99" t="str">
        <x:v>03/08</x:v>
      </x:c>
      <x:c r="T6" s="100" t="n">
        <x:f>SUMIFS('Datos Ventas'!$D$2:$D$19,'Datos Ventas'!$B$2:$B$19,DATE(2026,8,3))</x:f>
        <x:v>2340960.23</x:v>
      </x:c>
      <x:c r="U6" s="99" t="n">
        <x:f>SUMIFS('Datos Ventas'!$J$2:$J$19,'Datos Ventas'!$B$2:$B$19,DATE(2026,8,3))</x:f>
        <x:v>9</x:v>
      </x:c>
      <x:c r="V6" s="99" t="n">
        <x:f>COUNTIFS('Datos Ventas'!$B$2:$B$19,DATE(2026,8,3))</x:f>
        <x:v>5</x:v>
      </x:c>
      <x:c r="W6" s="99"/>
      <x:c r="X6" s="99"/>
      <x:c r="Y6" s="99"/>
      <x:c r="Z6" s="99"/>
    </x:row>
    <x:row r="7">
      <x:c r="A7" s="27"/>
      <x:c r="B7" s="27"/>
      <x:c r="C7" s="27"/>
      <x:c r="D7" s="27"/>
      <x:c r="E7" s="36"/>
      <x:c r="F7" s="36"/>
      <x:c r="G7" s="36"/>
      <x:c r="H7" s="36"/>
      <x:c r="I7" s="45"/>
      <x:c r="J7" s="45"/>
      <x:c r="K7" s="45"/>
      <x:c r="L7" s="45"/>
      <x:c r="M7" s="54"/>
      <x:c r="N7" s="54"/>
      <x:c r="O7" s="54"/>
      <x:c r="P7" s="54"/>
      <x:c r="S7" s="99" t="str">
        <x:v>04/08</x:v>
      </x:c>
      <x:c r="T7" s="100" t="n">
        <x:f>SUMIFS('Datos Ventas'!$D$2:$D$19,'Datos Ventas'!$B$2:$B$19,DATE(2026,8,4))</x:f>
        <x:v>3866798.35</x:v>
      </x:c>
      <x:c r="U7" s="99" t="n">
        <x:f>SUMIFS('Datos Ventas'!$J$2:$J$19,'Datos Ventas'!$B$2:$B$19,DATE(2026,8,4))</x:f>
        <x:v>12</x:v>
      </x:c>
      <x:c r="V7" s="99" t="n">
        <x:f>COUNTIFS('Datos Ventas'!$B$2:$B$19,DATE(2026,8,4))</x:f>
        <x:v>4</x:v>
      </x:c>
      <x:c r="W7" s="99"/>
      <x:c r="X7" s="99"/>
      <x:c r="Y7" s="99"/>
      <x:c r="Z7" s="99"/>
    </x:row>
    <x:row r="8">
      <x:c r="A8" s="32" t="str">
        <x:v>PARTICIPACIÓN CON PROMO</x:v>
      </x:c>
      <x:c r="B8" s="32"/>
      <x:c r="C8" s="32"/>
      <x:c r="D8" s="32"/>
      <x:c r="E8" s="23" t="str">
        <x:v>FACTURACIÓN EN 6 O 12 CUOTAS</x:v>
      </x:c>
      <x:c r="F8" s="23"/>
      <x:c r="G8" s="23"/>
      <x:c r="H8" s="23"/>
      <x:c r="I8" s="41" t="str">
        <x:v>FACTURACIÓN DÍA PICO · 04/08</x:v>
      </x:c>
      <x:c r="J8" s="41"/>
      <x:c r="K8" s="41"/>
      <x:c r="L8" s="41"/>
      <x:c r="M8" s="50" t="str">
        <x:v>OPERACIÓN CON SERVICIOS</x:v>
      </x:c>
      <x:c r="N8" s="50"/>
      <x:c r="O8" s="50"/>
      <x:c r="P8" s="50"/>
      <x:c r="S8" s="99" t="str">
        <x:v>05/08</x:v>
      </x:c>
      <x:c r="T8" s="100" t="n">
        <x:f>SUMIFS('Datos Ventas'!$D$2:$D$19,'Datos Ventas'!$B$2:$B$19,DATE(2026,8,5))</x:f>
        <x:v>1260557.35</x:v>
      </x:c>
      <x:c r="U8" s="99" t="n">
        <x:f>SUMIFS('Datos Ventas'!$J$2:$J$19,'Datos Ventas'!$B$2:$B$19,DATE(2026,8,5))</x:f>
        <x:v>6</x:v>
      </x:c>
      <x:c r="V8" s="99" t="n">
        <x:f>COUNTIFS('Datos Ventas'!$B$2:$B$19,DATE(2026,8,5))</x:f>
        <x:v>2</x:v>
      </x:c>
      <x:c r="W8" s="99"/>
      <x:c r="X8" s="99"/>
      <x:c r="Y8" s="99" t="str">
        <x:v>Método de pago</x:v>
      </x:c>
      <x:c r="Z8" s="99" t="str">
        <x:v>Facturación</x:v>
      </x:c>
    </x:row>
    <x:row r="9">
      <x:c r="A9" s="57" t="n">
        <x:f>SUMIFS('Datos Ventas'!$D$2:$D$19,'Datos Ventas'!$R$2:$R$19,"Sí")/SUM('Datos Ventas'!$D$2:$D$19)</x:f>
        <x:v>0.31895501079316185</x:v>
      </x:c>
      <x:c r="B9" s="57"/>
      <x:c r="C9" s="57"/>
      <x:c r="D9" s="57"/>
      <x:c r="E9" s="60" t="n">
        <x:f>(SUMIFS('Datos Ventas'!$D$2:$D$19,'Datos Ventas'!$S$2:$S$19,"6 cuotas")+SUMIFS('Datos Ventas'!$D$2:$D$19,'Datos Ventas'!$S$2:$S$19,"12 cuotas"))/SUM('Datos Ventas'!$D$2:$D$19)</x:f>
        <x:v>0.8135435211950922</x:v>
      </x:c>
      <x:c r="F9" s="60"/>
      <x:c r="G9" s="60"/>
      <x:c r="H9" s="60"/>
      <x:c r="I9" s="63" t="n">
        <x:f>MAX($T$3:$T$9)</x:f>
        <x:v>3866798.35</x:v>
      </x:c>
      <x:c r="J9" s="63"/>
      <x:c r="K9" s="63"/>
      <x:c r="L9" s="63"/>
      <x:c r="M9" s="54" t="n">
        <x:f>SUMIFS('Datos Ventas'!$D$2:$D$19,'Datos Ventas'!$K$2:$K$19,"Neumáticos + servicios")</x:f>
        <x:v>546624</x:v>
      </x:c>
      <x:c r="N9" s="54"/>
      <x:c r="O9" s="54"/>
      <x:c r="P9" s="54"/>
      <x:c r="S9" s="99" t="str">
        <x:v>06/08</x:v>
      </x:c>
      <x:c r="T9" s="100" t="n">
        <x:f>SUMIFS('Datos Ventas'!$D$2:$D$19,'Datos Ventas'!$B$2:$B$19,DATE(2026,8,6))</x:f>
        <x:v>290717.27</x:v>
      </x:c>
      <x:c r="U9" s="99" t="n">
        <x:f>SUMIFS('Datos Ventas'!$J$2:$J$19,'Datos Ventas'!$B$2:$B$19,DATE(2026,8,6))</x:f>
        <x:v>2</x:v>
      </x:c>
      <x:c r="V9" s="99" t="n">
        <x:f>COUNTIFS('Datos Ventas'!$B$2:$B$19,DATE(2026,8,6))</x:f>
        <x:v>2</x:v>
      </x:c>
      <x:c r="W9" s="99"/>
      <x:c r="X9" s="99"/>
      <x:c r="Y9" s="99" t="str">
        <x:v>6 cuotas</x:v>
      </x:c>
      <x:c r="Z9" s="99" t="n">
        <x:f>SUMIF('Datos Ventas'!$S$2:$S$19,Y9,'Datos Ventas'!$D$2:$D$19)</x:f>
        <x:v>4512382.27</x:v>
      </x:c>
    </x:row>
    <x:row r="10">
      <x:c r="A10" s="57"/>
      <x:c r="B10" s="57"/>
      <x:c r="C10" s="57"/>
      <x:c r="D10" s="57"/>
      <x:c r="E10" s="60"/>
      <x:c r="F10" s="60"/>
      <x:c r="G10" s="60"/>
      <x:c r="H10" s="60"/>
      <x:c r="I10" s="63"/>
      <x:c r="J10" s="63"/>
      <x:c r="K10" s="63"/>
      <x:c r="L10" s="63"/>
      <x:c r="M10" s="54"/>
      <x:c r="N10" s="54"/>
      <x:c r="O10" s="54"/>
      <x:c r="P10" s="54"/>
      <x:c r="S10" s="99"/>
      <x:c r="T10" s="99"/>
      <x:c r="U10" s="99"/>
      <x:c r="V10" s="99"/>
      <x:c r="W10" s="99"/>
      <x:c r="X10" s="99"/>
      <x:c r="Y10" s="99" t="str">
        <x:v>12 cuotas</x:v>
      </x:c>
      <x:c r="Z10" s="99" t="n">
        <x:f>SUMIF('Datos Ventas'!$S$2:$S$19,Y10,'Datos Ventas'!$D$2:$D$19)</x:f>
        <x:v>3530467.41</x:v>
      </x:c>
    </x:row>
    <x:row r="11">
      <x:c r="I11" s="66" t="str">
        <x:v>Métrica del ranking por marca</x:v>
      </x:c>
      <x:c r="J11" s="66"/>
      <x:c r="K11" s="66"/>
      <x:c r="L11" s="66"/>
      <x:c r="M11" s="66"/>
      <x:c r="N11" s="66"/>
      <x:c r="O11" s="66"/>
      <x:c r="P11" s="68" t="str">
        <x:v>Facturación ($)</x:v>
      </x:c>
      <x:c r="S11" s="99"/>
      <x:c r="T11" s="99"/>
      <x:c r="U11" s="99"/>
      <x:c r="V11" s="99"/>
      <x:c r="W11" s="99"/>
      <x:c r="X11" s="99"/>
      <x:c r="Y11" s="99" t="str">
        <x:v>3 cuotas</x:v>
      </x:c>
      <x:c r="Z11" s="99" t="n">
        <x:f>SUMIF('Datos Ventas'!$S$2:$S$19,Y11,'Datos Ventas'!$D$2:$D$19)</x:f>
        <x:v>1552627.79</x:v>
      </x:c>
    </x:row>
    <x:row r="12">
      <x:c r="S12" s="99" t="str">
        <x:v>Marca</x:v>
      </x:c>
      <x:c r="T12" s="99" t="str">
        <x:v>Métrica seleccionada</x:v>
      </x:c>
      <x:c r="U12" s="99"/>
      <x:c r="V12" s="99"/>
      <x:c r="W12" s="99"/>
      <x:c r="X12" s="99"/>
      <x:c r="Y12" s="99" t="str">
        <x:v>1 pago</x:v>
      </x:c>
      <x:c r="Z12" s="99" t="n">
        <x:f>SUMIF('Datos Ventas'!$S$2:$S$19,Y12,'Datos Ventas'!$D$2:$D$19)</x:f>
        <x:v>290717.27</x:v>
      </x:c>
    </x:row>
    <x:row r="13">
      <x:c r="S13" s="99" t="str">
        <x:v>Michelin</x:v>
      </x:c>
      <x:c r="T13" s="99" t="n">
        <x:f>IF($P$11="Facturación ($)",SUMIF('Datos Ventas'!$F$2:$F$19,S13,'Datos Ventas'!$D$2:$D$19),IF($P$11="Unidades",SUMIF('Datos Ventas'!$F$2:$F$19,S13,'Datos Ventas'!$J$2:$J$19),COUNTIF('Datos Ventas'!$F$2:$F$19,S13)))</x:f>
        <x:v>2695157.14</x:v>
      </x:c>
      <x:c r="U13" s="99"/>
      <x:c r="V13" s="99"/>
      <x:c r="W13" s="99"/>
      <x:c r="X13" s="99"/>
      <x:c r="Y13" s="99"/>
      <x:c r="Z13" s="99"/>
    </x:row>
    <x:row r="14">
      <x:c r="S14" s="99" t="str">
        <x:v>Nexen</x:v>
      </x:c>
      <x:c r="T14" s="99" t="n">
        <x:f>IF($P$11="Facturación ($)",SUMIF('Datos Ventas'!$F$2:$F$19,S14,'Datos Ventas'!$D$2:$D$19),IF($P$11="Unidades",SUMIF('Datos Ventas'!$F$2:$F$19,S14,'Datos Ventas'!$J$2:$J$19),COUNTIF('Datos Ventas'!$F$2:$F$19,S14)))</x:f>
        <x:v>2465260.35</x:v>
      </x:c>
      <x:c r="U14" s="99"/>
      <x:c r="V14" s="99"/>
      <x:c r="W14" s="99"/>
      <x:c r="X14" s="99"/>
      <x:c r="Y14" s="99"/>
      <x:c r="Z14" s="99"/>
    </x:row>
    <x:row r="15">
      <x:c r="S15" s="99" t="str">
        <x:v>Yokohama</x:v>
      </x:c>
      <x:c r="T15" s="99" t="n">
        <x:f>IF($P$11="Facturación ($)",SUMIF('Datos Ventas'!$F$2:$F$19,S15,'Datos Ventas'!$D$2:$D$19),IF($P$11="Unidades",SUMIF('Datos Ventas'!$F$2:$F$19,S15,'Datos Ventas'!$J$2:$J$19),COUNTIF('Datos Ventas'!$F$2:$F$19,S15)))</x:f>
        <x:v>1461648.56</x:v>
      </x:c>
      <x:c r="U15" s="99"/>
      <x:c r="V15" s="99"/>
      <x:c r="W15" s="99"/>
      <x:c r="X15" s="99"/>
      <x:c r="Y15" s="99"/>
      <x:c r="Z15" s="99"/>
    </x:row>
    <x:row r="16">
      <x:c r="S16" s="99" t="str">
        <x:v>Kumho</x:v>
      </x:c>
      <x:c r="T16" s="99" t="n">
        <x:f>IF($P$11="Facturación ($)",SUMIF('Datos Ventas'!$F$2:$F$19,S16,'Datos Ventas'!$D$2:$D$19),IF($P$11="Unidades",SUMIF('Datos Ventas'!$F$2:$F$19,S16,'Datos Ventas'!$J$2:$J$19),COUNTIF('Datos Ventas'!$F$2:$F$19,S16)))</x:f>
        <x:v>1322011.42</x:v>
      </x:c>
      <x:c r="U16" s="99"/>
      <x:c r="V16" s="99"/>
      <x:c r="W16" s="99"/>
      <x:c r="X16" s="99"/>
      <x:c r="Y16" s="99" t="str">
        <x:v>Medida</x:v>
      </x:c>
      <x:c r="Z16" s="99" t="str">
        <x:v>Unidades</x:v>
      </x:c>
    </x:row>
    <x:row r="17">
      <x:c r="S17" s="99" t="str">
        <x:v>Continental</x:v>
      </x:c>
      <x:c r="T17" s="99" t="n">
        <x:f>IF($P$11="Facturación ($)",SUMIF('Datos Ventas'!$F$2:$F$19,S17,'Datos Ventas'!$D$2:$D$19),IF($P$11="Unidades",SUMIF('Datos Ventas'!$F$2:$F$19,S17,'Datos Ventas'!$J$2:$J$19),COUNTIF('Datos Ventas'!$F$2:$F$19,S17)))</x:f>
        <x:v>1312725</x:v>
      </x:c>
      <x:c r="U17" s="99"/>
      <x:c r="V17" s="99"/>
      <x:c r="W17" s="99"/>
      <x:c r="X17" s="99"/>
      <x:c r="Y17" s="99" t="str">
        <x:v>175/65 R14</x:v>
      </x:c>
      <x:c r="Z17" s="99" t="n">
        <x:f>SUMIF('Productos vendidos'!$E$2:$E$20,Y17,'Productos vendidos'!$F$2:$F$20)</x:f>
        <x:v>8</x:v>
      </x:c>
    </x:row>
    <x:row r="18">
      <x:c r="S18" s="99" t="str">
        <x:v>BFGoodrich</x:v>
      </x:c>
      <x:c r="T18" s="99" t="n">
        <x:f>IF($P$11="Facturación ($)",SUMIF('Datos Ventas'!$F$2:$F$19,S18,'Datos Ventas'!$D$2:$D$19),IF($P$11="Unidades",SUMIF('Datos Ventas'!$F$2:$F$19,S18,'Datos Ventas'!$J$2:$J$19),COUNTIF('Datos Ventas'!$F$2:$F$19,S18)))</x:f>
        <x:v>477650</x:v>
      </x:c>
      <x:c r="U18" s="99"/>
      <x:c r="V18" s="99"/>
      <x:c r="W18" s="99"/>
      <x:c r="X18" s="99"/>
      <x:c r="Y18" s="99" t="str">
        <x:v>195/65 R15</x:v>
      </x:c>
      <x:c r="Z18" s="99" t="n">
        <x:f>SUMIF('Productos vendidos'!$E$2:$E$20,Y18,'Productos vendidos'!$F$2:$F$20)</x:f>
        <x:v>5</x:v>
      </x:c>
    </x:row>
    <x:row r="19">
      <x:c r="S19" s="99" t="str">
        <x:v>Master Steel</x:v>
      </x:c>
      <x:c r="T19" s="99" t="n">
        <x:f>IF($P$11="Facturación ($)",SUMIF('Datos Ventas'!$F$2:$F$19,S19,'Datos Ventas'!$D$2:$D$19),IF($P$11="Unidades",SUMIF('Datos Ventas'!$F$2:$F$19,S19,'Datos Ventas'!$J$2:$J$19),COUNTIF('Datos Ventas'!$F$2:$F$19,S19)))</x:f>
        <x:v>151742.27</x:v>
      </x:c>
      <x:c r="U19" s="99"/>
      <x:c r="V19" s="99"/>
      <x:c r="W19" s="99"/>
      <x:c r="X19" s="99"/>
      <x:c r="Y19" s="99" t="str">
        <x:v>225/45 R18</x:v>
      </x:c>
      <x:c r="Z19" s="99" t="n">
        <x:f>SUMIF('Productos vendidos'!$E$2:$E$20,Y19,'Productos vendidos'!$F$2:$F$20)</x:f>
        <x:v>4</x:v>
      </x:c>
    </x:row>
    <x:row r="20">
      <x:c r="S20" s="99"/>
      <x:c r="T20" s="99"/>
      <x:c r="U20" s="99"/>
      <x:c r="V20" s="99"/>
      <x:c r="W20" s="99"/>
      <x:c r="X20" s="99"/>
      <x:c r="Y20" s="99" t="str">
        <x:v>195/55 R16</x:v>
      </x:c>
      <x:c r="Z20" s="99" t="n">
        <x:f>SUMIF('Productos vendidos'!$E$2:$E$20,Y20,'Productos vendidos'!$F$2:$F$20)</x:f>
        <x:v>4</x:v>
      </x:c>
    </x:row>
    <x:row r="21">
      <x:c r="S21" s="99"/>
      <x:c r="T21" s="99"/>
      <x:c r="U21" s="99"/>
      <x:c r="V21" s="99"/>
      <x:c r="W21" s="99"/>
      <x:c r="X21" s="99"/>
      <x:c r="Y21" s="99" t="str">
        <x:v>185/60 R15</x:v>
      </x:c>
      <x:c r="Z21" s="99" t="n">
        <x:f>SUMIF('Productos vendidos'!$E$2:$E$20,Y21,'Productos vendidos'!$F$2:$F$20)</x:f>
        <x:v>4</x:v>
      </x:c>
    </x:row>
    <x:row r="22">
      <x:c r="S22" s="99"/>
      <x:c r="T22" s="99"/>
      <x:c r="U22" s="99"/>
      <x:c r="V22" s="99"/>
      <x:c r="W22" s="99"/>
      <x:c r="X22" s="99"/>
      <x:c r="Y22" s="99" t="str">
        <x:v>205/55 R16</x:v>
      </x:c>
      <x:c r="Z22" s="99" t="n">
        <x:f>SUMIF('Productos vendidos'!$E$2:$E$20,Y22,'Productos vendidos'!$F$2:$F$20)</x:f>
        <x:v>3</x:v>
      </x:c>
    </x:row>
    <x:row r="23">
      <x:c r="S23" s="99" t="str">
        <x:v>Promoción</x:v>
      </x:c>
      <x:c r="T23" s="99" t="str">
        <x:v>Facturación</x:v>
      </x:c>
      <x:c r="U23" s="99"/>
      <x:c r="V23" s="99"/>
      <x:c r="W23" s="99"/>
      <x:c r="X23" s="99"/>
      <x:c r="Y23" s="99" t="str">
        <x:v>215/50 R17</x:v>
      </x:c>
      <x:c r="Z23" s="99" t="n">
        <x:f>SUMIF('Productos vendidos'!$E$2:$E$20,Y23,'Productos vendidos'!$F$2:$F$20)</x:f>
        <x:v>2</x:v>
      </x:c>
    </x:row>
    <x:row r="24">
      <x:c r="S24" s="99" t="str">
        <x:v>Con promoción</x:v>
      </x:c>
      <x:c r="T24" s="99" t="n">
        <x:f>SUMIF('Datos Ventas'!$R$2:$R$19,"Sí",'Datos Ventas'!$D$2:$D$19)</x:f>
        <x:v>3153251.35</x:v>
      </x:c>
      <x:c r="U24" s="99"/>
      <x:c r="V24" s="99"/>
      <x:c r="W24" s="99"/>
      <x:c r="X24" s="99"/>
      <x:c r="Y24" s="99" t="str">
        <x:v>205/60 R16</x:v>
      </x:c>
      <x:c r="Z24" s="99" t="n">
        <x:f>SUMIF('Productos vendidos'!$E$2:$E$20,Y24,'Productos vendidos'!$F$2:$F$20)</x:f>
        <x:v>2</x:v>
      </x:c>
    </x:row>
    <x:row r="25">
      <x:c r="S25" s="99" t="str">
        <x:v>Sin promoción</x:v>
      </x:c>
      <x:c r="T25" s="99" t="n">
        <x:f>SUMIF('Datos Ventas'!$R$2:$R$19,"No",'Datos Ventas'!$D$2:$D$19)</x:f>
        <x:v>6732943.39</x:v>
      </x:c>
      <x:c r="U25" s="99"/>
      <x:c r="V25" s="99"/>
      <x:c r="W25" s="99"/>
      <x:c r="X25" s="99"/>
      <x:c r="Y25" s="99" t="str">
        <x:v>120/70 R19</x:v>
      </x:c>
      <x:c r="Z25" s="99" t="n">
        <x:f>SUMIF('Productos vendidos'!$E$2:$E$20,Y25,'Productos vendidos'!$F$2:$F$20)</x:f>
        <x:v>2</x:v>
      </x:c>
    </x:row>
    <x:row r="26">
      <x:c r="Y26" t="str">
        <x:v>225/65 R16c</x:v>
      </x:c>
      <x:c r="Z26" t="n">
        <x:f>SUMIF('Productos vendidos'!$E$2:$E$20,Y26,'Productos vendidos'!$F$2:$F$20)</x:f>
        <x:v>2</x:v>
      </x:c>
    </x:row>
    <x:row r="61">
      <x:c r="A61" s="70" t="str">
        <x:v>LECTURA EJECUTIVA</x:v>
      </x:c>
      <x:c r="B61" s="70"/>
      <x:c r="C61" s="70"/>
      <x:c r="D61" s="70"/>
      <x:c r="E61" s="70"/>
      <x:c r="F61" s="70"/>
      <x:c r="G61" s="70"/>
      <x:c r="H61" s="70"/>
      <x:c r="I61" s="70"/>
      <x:c r="J61" s="70"/>
      <x:c r="K61" s="70"/>
      <x:c r="L61" s="70"/>
      <x:c r="M61" s="70"/>
      <x:c r="N61" s="70"/>
      <x:c r="O61" s="70"/>
      <x:c r="P61" s="70"/>
    </x:row>
    <x:row r="62" ht="28" customHeight="1">
      <x:c r="A62" s="73" t="str">
        <x:v>La facturación se concentró en el 03/08 y 04/08 (62,8% del total), con un máximo el 04/08. El 81,3% se cobró en 6 o 12 cuotas. CDS y retiro en sucursal concentraron 90,6% de la facturación. Se detectó una operación mixta con 4 neumáticos, 1 alineación y 4 balanceos; como el importe no viene desagregado, se informa separado sin asignar ingresos ficticios a los servicios.</x:v>
      </x:c>
      <x:c r="B62" s="73"/>
      <x:c r="C62" s="73"/>
      <x:c r="D62" s="73"/>
      <x:c r="E62" s="73"/>
      <x:c r="F62" s="73"/>
      <x:c r="G62" s="73"/>
      <x:c r="H62" s="73"/>
      <x:c r="I62" s="73"/>
      <x:c r="J62" s="73"/>
      <x:c r="K62" s="73"/>
      <x:c r="L62" s="73"/>
      <x:c r="M62" s="73"/>
      <x:c r="N62" s="73"/>
      <x:c r="O62" s="73"/>
      <x:c r="P62" s="73"/>
    </x:row>
    <x:row r="63" ht="28" customHeight="1">
      <x:c r="A63" s="73"/>
      <x:c r="B63" s="73"/>
      <x:c r="C63" s="73"/>
      <x:c r="D63" s="73"/>
      <x:c r="E63" s="73"/>
      <x:c r="F63" s="73"/>
      <x:c r="G63" s="73"/>
      <x:c r="H63" s="73"/>
      <x:c r="I63" s="73"/>
      <x:c r="J63" s="73"/>
      <x:c r="K63" s="73"/>
      <x:c r="L63" s="73"/>
      <x:c r="M63" s="73"/>
      <x:c r="N63" s="73"/>
      <x:c r="O63" s="73"/>
      <x:c r="P63" s="73"/>
    </x:row>
    <x:row r="64" ht="28" customHeight="1">
      <x:c r="A64" s="73"/>
      <x:c r="B64" s="73"/>
      <x:c r="C64" s="73"/>
      <x:c r="D64" s="73"/>
      <x:c r="E64" s="73"/>
      <x:c r="F64" s="73"/>
      <x:c r="G64" s="73"/>
      <x:c r="H64" s="73"/>
      <x:c r="I64" s="73"/>
      <x:c r="J64" s="73"/>
      <x:c r="K64" s="73"/>
      <x:c r="L64" s="73"/>
      <x:c r="M64" s="73"/>
      <x:c r="N64" s="73"/>
      <x:c r="O64" s="73"/>
      <x:c r="P64" s="73"/>
    </x:row>
  </x:sheetData>
  <x:mergeCells>
    <x:mergeCell ref="A1:P2"/>
    <x:mergeCell ref="A3:P3"/>
    <x:mergeCell ref="A4:D4"/>
    <x:mergeCell ref="A5:D7"/>
    <x:mergeCell ref="E4:H4"/>
    <x:mergeCell ref="E5:H7"/>
    <x:mergeCell ref="I4:L4"/>
    <x:mergeCell ref="I5:L7"/>
    <x:mergeCell ref="M4:P4"/>
    <x:mergeCell ref="M5:P7"/>
    <x:mergeCell ref="A8:D8"/>
    <x:mergeCell ref="A9:D10"/>
    <x:mergeCell ref="E8:H8"/>
    <x:mergeCell ref="E9:H10"/>
    <x:mergeCell ref="I8:L8"/>
    <x:mergeCell ref="I9:L10"/>
    <x:mergeCell ref="M8:P8"/>
    <x:mergeCell ref="M9:P10"/>
    <x:mergeCell ref="I11:O11"/>
    <x:mergeCell ref="A61:P61"/>
    <x:mergeCell ref="A62:P64"/>
  </x:mergeCells>
  <x:dataValidations count="1">
    <x:dataValidation type="list" sqref="P11">
      <x:formula1>"Facturación ($),Unidades,Operaciones"</x:formula1>
    </x:dataValidation>
  </x:dataValidations>
  <x:pageMargins left="0.7" right="0.7" top="0.75" bottom="0.75" header="0.3" footer="0.3"/>
  <x:drawing xmlns:r="http://schemas.openxmlformats.org/officeDocument/2006/relationships" r:id="R9c5a7a78b94f40ce"/>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ht="27" customHeight="1">
      <x:c r="A1" s="14" t="str">
        <x:v>REPORTE VTEX · BÚSQUEDAS INTERNAS</x:v>
      </x:c>
      <x:c r="B1" s="14"/>
      <x:c r="C1" s="14"/>
      <x:c r="D1" s="14"/>
      <x:c r="E1" s="14"/>
      <x:c r="F1" s="14"/>
      <x:c r="G1" s="14"/>
      <x:c r="H1" s="14"/>
      <x:c r="I1" s="14"/>
      <x:c r="J1" s="14"/>
      <x:c r="K1" s="14"/>
      <x:c r="L1" s="14"/>
      <x:c r="M1" s="14"/>
      <x:c r="N1" s="14"/>
      <x:c r="O1" s="14"/>
      <x:c r="P1" s="14"/>
    </x:row>
    <x:row r="2" ht="27" customHeight="1">
      <x:c r="A2" s="14"/>
      <x:c r="B2" s="14"/>
      <x:c r="C2" s="14"/>
      <x:c r="D2" s="14"/>
      <x:c r="E2" s="14"/>
      <x:c r="F2" s="14"/>
      <x:c r="G2" s="14"/>
      <x:c r="H2" s="14"/>
      <x:c r="I2" s="14"/>
      <x:c r="J2" s="14"/>
      <x:c r="K2" s="14"/>
      <x:c r="L2" s="14"/>
      <x:c r="M2" s="14"/>
      <x:c r="N2" s="14"/>
      <x:c r="O2" s="14"/>
      <x:c r="P2" s="14"/>
      <x:c r="R2" s="103" t="str">
        <x:v>Día</x:v>
      </x:c>
      <x:c r="S2" s="103" t="str">
        <x:v>Búsquedas</x:v>
      </x:c>
      <x:c r="T2" s="103" t="str">
        <x:v>Clicks</x:v>
      </x:c>
      <x:c r="U2" s="103" t="str">
        <x:v>CTR</x:v>
      </x:c>
      <x:c r="V2" s="103" t="str">
        <x:v>Órdenes</x:v>
      </x:c>
      <x:c r="W2" s="103" t="str">
        <x:v>Ventas</x:v>
      </x:c>
      <x:c r="X2" s="99"/>
      <x:c r="Y2" s="99"/>
      <x:c r="Z2" s="99"/>
      <x:c r="AA2" s="99"/>
    </x:row>
    <x:row r="3" ht="22" customHeight="1">
      <x:c r="A3" s="18" t="str">
        <x:v>Evolución diaria: 17/07/2026 al 24/07/2026 · La tabla de términos no informa su período y se analiza por separado</x:v>
      </x:c>
      <x:c r="B3" s="18"/>
      <x:c r="C3" s="18"/>
      <x:c r="D3" s="18"/>
      <x:c r="E3" s="18"/>
      <x:c r="F3" s="18"/>
      <x:c r="G3" s="18"/>
      <x:c r="H3" s="18"/>
      <x:c r="I3" s="18"/>
      <x:c r="J3" s="18"/>
      <x:c r="K3" s="18"/>
      <x:c r="L3" s="18"/>
      <x:c r="M3" s="18"/>
      <x:c r="N3" s="18"/>
      <x:c r="O3" s="18"/>
      <x:c r="P3" s="18"/>
      <x:c r="R3" s="99" t="str">
        <x:v>17/07</x:v>
      </x:c>
      <x:c r="S3" s="99" t="n">
        <x:f>'Datos Búsq. Día'!B2</x:f>
        <x:v>529</x:v>
      </x:c>
      <x:c r="T3" s="99" t="n">
        <x:f>'Datos Búsq. Día'!D2</x:f>
        <x:v>172</x:v>
      </x:c>
      <x:c r="U3" s="101" t="n">
        <x:f>'Datos Búsq. Día'!F2</x:f>
        <x:v>0.3251</x:v>
      </x:c>
      <x:c r="V3" s="99" t="n">
        <x:f>'Datos Búsq. Día'!H2</x:f>
        <x:v>0</x:v>
      </x:c>
      <x:c r="W3" s="100" t="n">
        <x:f>'Datos Búsq. Día'!I2</x:f>
        <x:v>0</x:v>
      </x:c>
      <x:c r="X3" s="99"/>
      <x:c r="Y3" s="99"/>
      <x:c r="Z3" s="99"/>
      <x:c r="AA3" s="99"/>
    </x:row>
    <x:row r="4">
      <x:c r="A4" s="23" t="str">
        <x:v>BÚSQUEDAS DIARIAS</x:v>
      </x:c>
      <x:c r="B4" s="23"/>
      <x:c r="C4" s="23"/>
      <x:c r="D4" s="23"/>
      <x:c r="E4" s="32" t="str">
        <x:v>CLICKS DIARIOS</x:v>
      </x:c>
      <x:c r="F4" s="32"/>
      <x:c r="G4" s="32"/>
      <x:c r="H4" s="32"/>
      <x:c r="I4" s="41" t="str">
        <x:v>CTR PONDERADO</x:v>
      </x:c>
      <x:c r="J4" s="41"/>
      <x:c r="K4" s="41"/>
      <x:c r="L4" s="41"/>
      <x:c r="M4" s="50" t="str">
        <x:v>ÓRDENES ATRIBUIDAS</x:v>
      </x:c>
      <x:c r="N4" s="50"/>
      <x:c r="O4" s="50"/>
      <x:c r="P4" s="50"/>
      <x:c r="R4" s="99" t="str">
        <x:v>18/07</x:v>
      </x:c>
      <x:c r="S4" s="99" t="n">
        <x:f>'Datos Búsq. Día'!B3</x:f>
        <x:v>413</x:v>
      </x:c>
      <x:c r="T4" s="99" t="n">
        <x:f>'Datos Búsq. Día'!D3</x:f>
        <x:v>136</x:v>
      </x:c>
      <x:c r="U4" s="101" t="n">
        <x:f>'Datos Búsq. Día'!F3</x:f>
        <x:v>0.3293</x:v>
      </x:c>
      <x:c r="V4" s="99" t="n">
        <x:f>'Datos Búsq. Día'!H3</x:f>
        <x:v>0</x:v>
      </x:c>
      <x:c r="W4" s="100" t="n">
        <x:f>'Datos Búsq. Día'!I3</x:f>
        <x:v>0</x:v>
      </x:c>
      <x:c r="X4" s="99"/>
      <x:c r="Y4" s="99"/>
      <x:c r="Z4" s="99"/>
      <x:c r="AA4" s="99"/>
    </x:row>
    <x:row r="5">
      <x:c r="A5" s="76" t="n">
        <x:f>SUM('Datos Búsq. Día'!$B$2:$B$9)</x:f>
        <x:v>4239</x:v>
      </x:c>
      <x:c r="B5" s="76"/>
      <x:c r="C5" s="76"/>
      <x:c r="D5" s="76"/>
      <x:c r="E5" s="36" t="n">
        <x:f>SUM('Datos Búsq. Día'!$D$2:$D$9)</x:f>
        <x:v>1554</x:v>
      </x:c>
      <x:c r="F5" s="36"/>
      <x:c r="G5" s="36"/>
      <x:c r="H5" s="36"/>
      <x:c r="I5" s="79" t="n">
        <x:f>SUM('Datos Búsq. Día'!$D$2:$D$9)/SUM('Datos Búsq. Día'!$B$2:$B$9)</x:f>
        <x:v>0.36659589525831565</x:v>
      </x:c>
      <x:c r="J5" s="79"/>
      <x:c r="K5" s="79"/>
      <x:c r="L5" s="79"/>
      <x:c r="M5" s="82" t="n">
        <x:f>SUM('Datos Búsq. Día'!$H$2:$H$9)</x:f>
        <x:v>2</x:v>
      </x:c>
      <x:c r="N5" s="82"/>
      <x:c r="O5" s="82"/>
      <x:c r="P5" s="82"/>
      <x:c r="R5" s="99" t="str">
        <x:v>19/07</x:v>
      </x:c>
      <x:c r="S5" s="99" t="n">
        <x:f>'Datos Búsq. Día'!B4</x:f>
        <x:v>356</x:v>
      </x:c>
      <x:c r="T5" s="99" t="n">
        <x:f>'Datos Búsq. Día'!D4</x:f>
        <x:v>170</x:v>
      </x:c>
      <x:c r="U5" s="101" t="n">
        <x:f>'Datos Búsq. Día'!F4</x:f>
        <x:v>0.4775</x:v>
      </x:c>
      <x:c r="V5" s="99" t="n">
        <x:f>'Datos Búsq. Día'!H4</x:f>
        <x:v>0</x:v>
      </x:c>
      <x:c r="W5" s="100" t="n">
        <x:f>'Datos Búsq. Día'!I4</x:f>
        <x:v>0</x:v>
      </x:c>
      <x:c r="X5" s="99"/>
      <x:c r="Y5" s="99"/>
      <x:c r="Z5" s="99"/>
      <x:c r="AA5" s="99"/>
    </x:row>
    <x:row r="6">
      <x:c r="A6" s="76"/>
      <x:c r="B6" s="76"/>
      <x:c r="C6" s="76"/>
      <x:c r="D6" s="76"/>
      <x:c r="E6" s="36"/>
      <x:c r="F6" s="36"/>
      <x:c r="G6" s="36"/>
      <x:c r="H6" s="36"/>
      <x:c r="I6" s="79"/>
      <x:c r="J6" s="79"/>
      <x:c r="K6" s="79"/>
      <x:c r="L6" s="79"/>
      <x:c r="M6" s="82"/>
      <x:c r="N6" s="82"/>
      <x:c r="O6" s="82"/>
      <x:c r="P6" s="82"/>
      <x:c r="R6" s="99" t="str">
        <x:v>20/07</x:v>
      </x:c>
      <x:c r="S6" s="99" t="n">
        <x:f>'Datos Búsq. Día'!B5</x:f>
        <x:v>692</x:v>
      </x:c>
      <x:c r="T6" s="99" t="n">
        <x:f>'Datos Búsq. Día'!D5</x:f>
        <x:v>241</x:v>
      </x:c>
      <x:c r="U6" s="101" t="n">
        <x:f>'Datos Búsq. Día'!F5</x:f>
        <x:v>0.3483</x:v>
      </x:c>
      <x:c r="V6" s="99" t="n">
        <x:f>'Datos Búsq. Día'!H5</x:f>
        <x:v>1</x:v>
      </x:c>
      <x:c r="W6" s="100" t="n">
        <x:f>'Datos Búsq. Día'!I5</x:f>
        <x:v>724860</x:v>
      </x:c>
      <x:c r="X6" s="99"/>
      <x:c r="Y6" s="99"/>
      <x:c r="Z6" s="99"/>
      <x:c r="AA6" s="99"/>
    </x:row>
    <x:row r="7">
      <x:c r="A7" s="76"/>
      <x:c r="B7" s="76"/>
      <x:c r="C7" s="76"/>
      <x:c r="D7" s="76"/>
      <x:c r="E7" s="36"/>
      <x:c r="F7" s="36"/>
      <x:c r="G7" s="36"/>
      <x:c r="H7" s="36"/>
      <x:c r="I7" s="79"/>
      <x:c r="J7" s="79"/>
      <x:c r="K7" s="79"/>
      <x:c r="L7" s="79"/>
      <x:c r="M7" s="82"/>
      <x:c r="N7" s="82"/>
      <x:c r="O7" s="82"/>
      <x:c r="P7" s="82"/>
      <x:c r="R7" s="99" t="str">
        <x:v>21/07</x:v>
      </x:c>
      <x:c r="S7" s="99" t="n">
        <x:f>'Datos Búsq. Día'!B6</x:f>
        <x:v>709</x:v>
      </x:c>
      <x:c r="T7" s="99" t="n">
        <x:f>'Datos Búsq. Día'!D6</x:f>
        <x:v>257</x:v>
      </x:c>
      <x:c r="U7" s="101" t="n">
        <x:f>'Datos Búsq. Día'!F6</x:f>
        <x:v>0.3625</x:v>
      </x:c>
      <x:c r="V7" s="99" t="n">
        <x:f>'Datos Búsq. Día'!H6</x:f>
        <x:v>0</x:v>
      </x:c>
      <x:c r="W7" s="100" t="n">
        <x:f>'Datos Búsq. Día'!I6</x:f>
        <x:v>0</x:v>
      </x:c>
      <x:c r="X7" s="99"/>
      <x:c r="Y7" s="99"/>
      <x:c r="Z7" s="99"/>
      <x:c r="AA7" s="99"/>
    </x:row>
    <x:row r="8">
      <x:c r="A8" s="32" t="str">
        <x:v>CONVERSIÓN SOBRE CLICK ÚNICO</x:v>
      </x:c>
      <x:c r="B8" s="32"/>
      <x:c r="C8" s="32"/>
      <x:c r="D8" s="32"/>
      <x:c r="E8" s="23" t="str">
        <x:v>VENTAS ATRIBUIDAS</x:v>
      </x:c>
      <x:c r="F8" s="23"/>
      <x:c r="G8" s="23"/>
      <x:c r="H8" s="23"/>
      <x:c r="I8" s="41" t="str">
        <x:v>BÚSQUEDAS ÚNICAS</x:v>
      </x:c>
      <x:c r="J8" s="41"/>
      <x:c r="K8" s="41"/>
      <x:c r="L8" s="41"/>
      <x:c r="M8" s="50" t="str">
        <x:v>TÉRMINOS ANALIZADOS</x:v>
      </x:c>
      <x:c r="N8" s="50"/>
      <x:c r="O8" s="50"/>
      <x:c r="P8" s="50"/>
      <x:c r="R8" s="99" t="str">
        <x:v>22/07</x:v>
      </x:c>
      <x:c r="S8" s="99" t="n">
        <x:f>'Datos Búsq. Día'!B7</x:f>
        <x:v>595</x:v>
      </x:c>
      <x:c r="T8" s="99" t="n">
        <x:f>'Datos Búsq. Día'!D7</x:f>
        <x:v>167</x:v>
      </x:c>
      <x:c r="U8" s="101" t="n">
        <x:f>'Datos Búsq. Día'!F7</x:f>
        <x:v>0.2807</x:v>
      </x:c>
      <x:c r="V8" s="99" t="n">
        <x:f>'Datos Búsq. Día'!H7</x:f>
        <x:v>0</x:v>
      </x:c>
      <x:c r="W8" s="100" t="n">
        <x:f>'Datos Búsq. Día'!I7</x:f>
        <x:v>0</x:v>
      </x:c>
      <x:c r="X8" s="99"/>
      <x:c r="Y8" s="99"/>
      <x:c r="Z8" s="99"/>
      <x:c r="AA8" s="99"/>
    </x:row>
    <x:row r="9">
      <x:c r="A9" s="85" t="n">
        <x:f>SUM('Datos Búsq. Día'!$H$2:$H$9)/SUM('Datos Búsq. Día'!$E$2:$E$9)</x:f>
        <x:v>0.0033783783783783786</x:v>
      </x:c>
      <x:c r="B9" s="85"/>
      <x:c r="C9" s="85"/>
      <x:c r="D9" s="85"/>
      <x:c r="E9" s="27" t="n">
        <x:f>SUM('Datos Búsq. Día'!$I$2:$I$9)</x:f>
        <x:v>1653871.2</x:v>
      </x:c>
      <x:c r="F9" s="27"/>
      <x:c r="G9" s="27"/>
      <x:c r="H9" s="27"/>
      <x:c r="I9" s="45" t="n">
        <x:f>SUM('Datos Búsq. Día'!$C$2:$C$9)</x:f>
        <x:v>2837</x:v>
      </x:c>
      <x:c r="J9" s="45"/>
      <x:c r="K9" s="45"/>
      <x:c r="L9" s="45"/>
      <x:c r="M9" s="82" t="n">
        <x:f>COUNTA('Datos Búsquedas'!$A$2:$A$900)</x:f>
        <x:v>899</x:v>
      </x:c>
      <x:c r="N9" s="82"/>
      <x:c r="O9" s="82"/>
      <x:c r="P9" s="82"/>
      <x:c r="R9" s="99" t="str">
        <x:v>23/07</x:v>
      </x:c>
      <x:c r="S9" s="99" t="n">
        <x:f>'Datos Búsq. Día'!B8</x:f>
        <x:v>638</x:v>
      </x:c>
      <x:c r="T9" s="99" t="n">
        <x:f>'Datos Búsq. Día'!D8</x:f>
        <x:v>259</x:v>
      </x:c>
      <x:c r="U9" s="101" t="n">
        <x:f>'Datos Búsq. Día'!F8</x:f>
        <x:v>0.406</x:v>
      </x:c>
      <x:c r="V9" s="99" t="n">
        <x:f>'Datos Búsq. Día'!H8</x:f>
        <x:v>1</x:v>
      </x:c>
      <x:c r="W9" s="100" t="n">
        <x:f>'Datos Búsq. Día'!I8</x:f>
        <x:v>929011.2</x:v>
      </x:c>
      <x:c r="X9" s="99"/>
      <x:c r="Y9" s="99"/>
      <x:c r="Z9" s="99"/>
      <x:c r="AA9" s="99"/>
    </x:row>
    <x:row r="10">
      <x:c r="A10" s="85"/>
      <x:c r="B10" s="85"/>
      <x:c r="C10" s="85"/>
      <x:c r="D10" s="85"/>
      <x:c r="E10" s="27"/>
      <x:c r="F10" s="27"/>
      <x:c r="G10" s="27"/>
      <x:c r="H10" s="27"/>
      <x:c r="I10" s="45"/>
      <x:c r="J10" s="45"/>
      <x:c r="K10" s="45"/>
      <x:c r="L10" s="45"/>
      <x:c r="M10" s="82"/>
      <x:c r="N10" s="82"/>
      <x:c r="O10" s="82"/>
      <x:c r="P10" s="82"/>
      <x:c r="R10" s="99" t="str">
        <x:v>24/07</x:v>
      </x:c>
      <x:c r="S10" s="99" t="n">
        <x:f>'Datos Búsq. Día'!B9</x:f>
        <x:v>307</x:v>
      </x:c>
      <x:c r="T10" s="99" t="n">
        <x:f>'Datos Búsq. Día'!D9</x:f>
        <x:v>152</x:v>
      </x:c>
      <x:c r="U10" s="101" t="n">
        <x:f>'Datos Búsq. Día'!F9</x:f>
        <x:v>0.4951</x:v>
      </x:c>
      <x:c r="V10" s="99" t="n">
        <x:f>'Datos Búsq. Día'!H9</x:f>
        <x:v>0</x:v>
      </x:c>
      <x:c r="W10" s="100" t="n">
        <x:f>'Datos Búsq. Día'!I9</x:f>
        <x:v>0</x:v>
      </x:c>
      <x:c r="X10" s="99"/>
      <x:c r="Y10" s="99"/>
      <x:c r="Z10" s="99"/>
      <x:c r="AA10" s="99"/>
    </x:row>
    <x:row r="11">
      <x:c r="R11" s="99"/>
      <x:c r="S11" s="99"/>
      <x:c r="T11" s="99"/>
      <x:c r="U11" s="99"/>
      <x:c r="V11" s="99"/>
      <x:c r="W11" s="99"/>
      <x:c r="X11" s="99"/>
      <x:c r="Y11" s="99"/>
      <x:c r="Z11" s="99"/>
      <x:c r="AA11" s="99"/>
    </x:row>
    <x:row r="12">
      <x:c r="R12" s="99"/>
      <x:c r="S12" s="99"/>
      <x:c r="T12" s="99"/>
      <x:c r="U12" s="99"/>
      <x:c r="V12" s="99"/>
      <x:c r="W12" s="99"/>
      <x:c r="X12" s="99"/>
      <x:c r="Y12" s="99"/>
      <x:c r="Z12" s="99"/>
      <x:c r="AA12" s="99"/>
    </x:row>
    <x:row r="13">
      <x:c r="R13" s="99" t="str">
        <x:v>Término</x:v>
      </x:c>
      <x:c r="S13" s="99" t="str">
        <x:v>Búsquedas</x:v>
      </x:c>
      <x:c r="T13" s="99" t="str">
        <x:v>Clicks</x:v>
      </x:c>
      <x:c r="U13" s="99" t="str">
        <x:v>Órdenes</x:v>
      </x:c>
      <x:c r="V13" s="99" t="str">
        <x:v>Día</x:v>
      </x:c>
      <x:c r="W13" s="99" t="str">
        <x:v>CTR</x:v>
      </x:c>
      <x:c r="X13" s="99" t="str">
        <x:v>Término</x:v>
      </x:c>
      <x:c r="Y13" s="99" t="str">
        <x:v>Clicks</x:v>
      </x:c>
      <x:c r="Z13" s="99" t="str">
        <x:v>Búsquedas</x:v>
      </x:c>
      <x:c r="AA13" s="99" t="str">
        <x:v>CTR</x:v>
      </x:c>
    </x:row>
    <x:row r="14">
      <x:c r="R14" s="99" t="str">
        <x:v>Auto</x:v>
      </x:c>
      <x:c r="S14" s="99" t="n">
        <x:f>SUMIF('Datos Búsquedas'!$A$2:$A$900,"Auto",'Datos Búsquedas'!$C$2:$C$900)</x:f>
        <x:v>515</x:v>
      </x:c>
      <x:c r="T14" s="99" t="n">
        <x:f>SUMIF('Datos Búsquedas'!$A$2:$A$900,"Auto",'Datos Búsquedas'!$E$2:$E$900)</x:f>
        <x:v>37</x:v>
      </x:c>
      <x:c r="U14" s="99" t="n">
        <x:f>SUMIF('Datos Búsquedas'!$A$2:$A$900,"Auto",'Datos Búsquedas'!$I$2:$I$900)</x:f>
        <x:v>0</x:v>
      </x:c>
      <x:c r="V14" s="99" t="str">
        <x:v>17/07</x:v>
      </x:c>
      <x:c r="W14" s="101" t="n">
        <x:v>0.3251</x:v>
      </x:c>
      <x:c r="X14" s="99" t="str">
        <x:v>205 55 16</x:v>
      </x:c>
      <x:c r="Y14" s="99" t="n">
        <x:f>SUMIF('Datos Búsquedas'!$A$2:$A$900,X14,'Datos Búsquedas'!$E$2:$E$900)</x:f>
        <x:v>97</x:v>
      </x:c>
      <x:c r="Z14" s="99" t="n">
        <x:f>SUMIF('Datos Búsquedas'!$A$2:$A$900,X14,'Datos Búsquedas'!$C$2:$C$900)</x:f>
        <x:v>91</x:v>
      </x:c>
      <x:c r="AA14" s="101" t="n">
        <x:f>IF(Z14=0,0,Y14/Z14)</x:f>
        <x:v>1.065934065934066</x:v>
      </x:c>
    </x:row>
    <x:row r="15">
      <x:c r="R15" s="99" t="str">
        <x:v>175 70 r13 fate prestiv…</x:v>
      </x:c>
      <x:c r="S15" s="99" t="n">
        <x:f>SUMIF('Datos Búsquedas'!$A$2:$A$900,"175-70-r13-fate-prestiva-82-t",'Datos Búsquedas'!$C$2:$C$900)</x:f>
        <x:v>431</x:v>
      </x:c>
      <x:c r="T15" s="99" t="n">
        <x:f>SUMIF('Datos Búsquedas'!$A$2:$A$900,"175-70-r13-fate-prestiva-82-t",'Datos Búsquedas'!$E$2:$E$900)</x:f>
        <x:v>0</x:v>
      </x:c>
      <x:c r="U15" s="99" t="n">
        <x:f>SUMIF('Datos Búsquedas'!$A$2:$A$900,"175-70-r13-fate-prestiva-82-t",'Datos Búsquedas'!$I$2:$I$900)</x:f>
        <x:v>0</x:v>
      </x:c>
      <x:c r="V15" s="99" t="str">
        <x:v>18/07</x:v>
      </x:c>
      <x:c r="W15" s="101" t="n">
        <x:v>0.3293</x:v>
      </x:c>
      <x:c r="X15" s="99" t="str">
        <x:v>215 65 16</x:v>
      </x:c>
      <x:c r="Y15" s="99" t="n">
        <x:f>SUMIF('Datos Búsquedas'!$A$2:$A$900,X15,'Datos Búsquedas'!$E$2:$E$900)</x:f>
        <x:v>65</x:v>
      </x:c>
      <x:c r="Z15" s="99" t="n">
        <x:f>SUMIF('Datos Búsquedas'!$A$2:$A$900,X15,'Datos Búsquedas'!$C$2:$C$900)</x:f>
        <x:v>69</x:v>
      </x:c>
      <x:c r="AA15" s="101" t="n">
        <x:f>IF(Z15=0,0,Y15/Z15)</x:f>
        <x:v>0.9420289855072463</x:v>
      </x:c>
    </x:row>
    <x:row r="16">
      <x:c r="R16" s="99" t="str">
        <x:v>neumaticos</x:v>
      </x:c>
      <x:c r="S16" s="99" t="n">
        <x:f>SUMIF('Datos Búsquedas'!$A$2:$A$900,"neumaticos",'Datos Búsquedas'!$C$2:$C$900)</x:f>
        <x:v>304</x:v>
      </x:c>
      <x:c r="T16" s="99" t="n">
        <x:f>SUMIF('Datos Búsquedas'!$A$2:$A$900,"neumaticos",'Datos Búsquedas'!$E$2:$E$900)</x:f>
        <x:v>35</x:v>
      </x:c>
      <x:c r="U16" s="99" t="n">
        <x:f>SUMIF('Datos Búsquedas'!$A$2:$A$900,"neumaticos",'Datos Búsquedas'!$I$2:$I$900)</x:f>
        <x:v>0</x:v>
      </x:c>
      <x:c r="V16" s="99" t="str">
        <x:v>19/07</x:v>
      </x:c>
      <x:c r="W16" s="101" t="n">
        <x:v>0.4775</x:v>
      </x:c>
      <x:c r="X16" s="99" t="str">
        <x:v>175 65 r14</x:v>
      </x:c>
      <x:c r="Y16" s="99" t="n">
        <x:f>SUMIF('Datos Búsquedas'!$A$2:$A$900,X16,'Datos Búsquedas'!$E$2:$E$900)</x:f>
        <x:v>56</x:v>
      </x:c>
      <x:c r="Z16" s="99" t="n">
        <x:f>SUMIF('Datos Búsquedas'!$A$2:$A$900,X16,'Datos Búsquedas'!$C$2:$C$900)</x:f>
        <x:v>39</x:v>
      </x:c>
      <x:c r="AA16" s="101" t="n">
        <x:f>IF(Z16=0,0,Y16/Z16)</x:f>
        <x:v>1.435897435897436</x:v>
      </x:c>
    </x:row>
    <x:row r="17">
      <x:c r="R17" s="99" t="str">
        <x:v>kit x2</x:v>
      </x:c>
      <x:c r="S17" s="99" t="n">
        <x:f>SUMIF('Datos Búsquedas'!$A$2:$A$900,"kit x2",'Datos Búsquedas'!$C$2:$C$900)</x:f>
        <x:v>272</x:v>
      </x:c>
      <x:c r="T17" s="99" t="n">
        <x:f>SUMIF('Datos Búsquedas'!$A$2:$A$900,"kit x2",'Datos Búsquedas'!$E$2:$E$900)</x:f>
        <x:v>35</x:v>
      </x:c>
      <x:c r="U17" s="99" t="n">
        <x:f>SUMIF('Datos Búsquedas'!$A$2:$A$900,"kit x2",'Datos Búsquedas'!$I$2:$I$900)</x:f>
        <x:v>0</x:v>
      </x:c>
      <x:c r="V17" s="99" t="str">
        <x:v>20/07</x:v>
      </x:c>
      <x:c r="W17" s="101" t="n">
        <x:v>0.3483</x:v>
      </x:c>
      <x:c r="X17" s="99" t="str">
        <x:v>265 70 r17</x:v>
      </x:c>
      <x:c r="Y17" s="99" t="n">
        <x:f>SUMIF('Datos Búsquedas'!$A$2:$A$900,X17,'Datos Búsquedas'!$E$2:$E$900)</x:f>
        <x:v>47</x:v>
      </x:c>
      <x:c r="Z17" s="99" t="n">
        <x:f>SUMIF('Datos Búsquedas'!$A$2:$A$900,X17,'Datos Búsquedas'!$C$2:$C$900)</x:f>
        <x:v>54</x:v>
      </x:c>
      <x:c r="AA17" s="101" t="n">
        <x:f>IF(Z17=0,0,Y17/Z17)</x:f>
        <x:v>0.8703703703703703</x:v>
      </x:c>
    </x:row>
    <x:row r="18">
      <x:c r="R18" s="99" t="str">
        <x:v>205 45 r17 michelin pil…</x:v>
      </x:c>
      <x:c r="S18" s="99" t="n">
        <x:f>SUMIF('Datos Búsquedas'!$A$2:$A$900,"205-45-r17-michelin-pilot-sport-5-88-y",'Datos Búsquedas'!$C$2:$C$900)</x:f>
        <x:v>188</x:v>
      </x:c>
      <x:c r="T18" s="99" t="n">
        <x:f>SUMIF('Datos Búsquedas'!$A$2:$A$900,"205-45-r17-michelin-pilot-sport-5-88-y",'Datos Búsquedas'!$E$2:$E$900)</x:f>
        <x:v>0</x:v>
      </x:c>
      <x:c r="U18" s="99" t="n">
        <x:f>SUMIF('Datos Búsquedas'!$A$2:$A$900,"205-45-r17-michelin-pilot-sport-5-88-y",'Datos Búsquedas'!$I$2:$I$900)</x:f>
        <x:v>0</x:v>
      </x:c>
      <x:c r="V18" s="99" t="str">
        <x:v>21/07</x:v>
      </x:c>
      <x:c r="W18" s="101" t="n">
        <x:v>0.3625</x:v>
      </x:c>
      <x:c r="X18" s="99" t="str">
        <x:v>185 65 r15</x:v>
      </x:c>
      <x:c r="Y18" s="99" t="n">
        <x:f>SUMIF('Datos Búsquedas'!$A$2:$A$900,X18,'Datos Búsquedas'!$E$2:$E$900)</x:f>
        <x:v>47</x:v>
      </x:c>
      <x:c r="Z18" s="99" t="n">
        <x:f>SUMIF('Datos Búsquedas'!$A$2:$A$900,X18,'Datos Búsquedas'!$C$2:$C$900)</x:f>
        <x:v>33</x:v>
      </x:c>
      <x:c r="AA18" s="101" t="n">
        <x:f>IF(Z18=0,0,Y18/Z18)</x:f>
        <x:v>1.4242424242424243</x:v>
      </x:c>
    </x:row>
    <x:row r="19">
      <x:c r="R19" s="99" t="str">
        <x:v>205 55 r16 michelin pri…</x:v>
      </x:c>
      <x:c r="S19" s="99" t="n">
        <x:f>SUMIF('Datos Búsquedas'!$A$2:$A$900,"205-55-r16-michelin-primacy-3-run-flat-91v",'Datos Búsquedas'!$C$2:$C$900)</x:f>
        <x:v>154</x:v>
      </x:c>
      <x:c r="T19" s="99" t="n">
        <x:f>SUMIF('Datos Búsquedas'!$A$2:$A$900,"205-55-r16-michelin-primacy-3-run-flat-91v",'Datos Búsquedas'!$E$2:$E$900)</x:f>
        <x:v>0</x:v>
      </x:c>
      <x:c r="U19" s="99" t="n">
        <x:f>SUMIF('Datos Búsquedas'!$A$2:$A$900,"205-55-r16-michelin-primacy-3-run-flat-91v",'Datos Búsquedas'!$I$2:$I$900)</x:f>
        <x:v>0</x:v>
      </x:c>
      <x:c r="V19" s="99" t="str">
        <x:v>22/07</x:v>
      </x:c>
      <x:c r="W19" s="101" t="n">
        <x:v>0.2807</x:v>
      </x:c>
      <x:c r="X19" s="99" t="str">
        <x:v>225 45 r17</x:v>
      </x:c>
      <x:c r="Y19" s="99" t="n">
        <x:f>SUMIF('Datos Búsquedas'!$A$2:$A$900,X19,'Datos Búsquedas'!$E$2:$E$900)</x:f>
        <x:v>45</x:v>
      </x:c>
      <x:c r="Z19" s="99" t="n">
        <x:f>SUMIF('Datos Búsquedas'!$A$2:$A$900,X19,'Datos Búsquedas'!$C$2:$C$900)</x:f>
        <x:v>82</x:v>
      </x:c>
      <x:c r="AA19" s="101" t="n">
        <x:f>IF(Z19=0,0,Y19/Z19)</x:f>
        <x:v>0.5487804878048781</x:v>
      </x:c>
    </x:row>
    <x:row r="20">
      <x:c r="R20" s="99" t="str">
        <x:v>185 65 r15 michelin ene…</x:v>
      </x:c>
      <x:c r="S20" s="99" t="n">
        <x:f>SUMIF('Datos Búsquedas'!$A$2:$A$900,"185-65-r15-michelin-energy-xm2plus-88h",'Datos Búsquedas'!$C$2:$C$900)</x:f>
        <x:v>143</x:v>
      </x:c>
      <x:c r="T20" s="99" t="n">
        <x:f>SUMIF('Datos Búsquedas'!$A$2:$A$900,"185-65-r15-michelin-energy-xm2plus-88h",'Datos Búsquedas'!$E$2:$E$900)</x:f>
        <x:v>0</x:v>
      </x:c>
      <x:c r="U20" s="99" t="n">
        <x:f>SUMIF('Datos Búsquedas'!$A$2:$A$900,"185-65-r15-michelin-energy-xm2plus-88h",'Datos Búsquedas'!$I$2:$I$900)</x:f>
        <x:v>0</x:v>
      </x:c>
      <x:c r="V20" s="99" t="str">
        <x:v>23/07</x:v>
      </x:c>
      <x:c r="W20" s="101" t="n">
        <x:v>0.406</x:v>
      </x:c>
      <x:c r="X20" s="99" t="str">
        <x:v>195 65 r15</x:v>
      </x:c>
      <x:c r="Y20" s="99" t="n">
        <x:f>SUMIF('Datos Búsquedas'!$A$2:$A$900,X20,'Datos Búsquedas'!$E$2:$E$900)</x:f>
        <x:v>45</x:v>
      </x:c>
      <x:c r="Z20" s="99" t="n">
        <x:f>SUMIF('Datos Búsquedas'!$A$2:$A$900,X20,'Datos Búsquedas'!$C$2:$C$900)</x:f>
        <x:v>31</x:v>
      </x:c>
      <x:c r="AA20" s="101" t="n">
        <x:f>IF(Z20=0,0,Y20/Z20)</x:f>
        <x:v>1.4516129032258065</x:v>
      </x:c>
    </x:row>
    <x:row r="21">
      <x:c r="R21" s="99" t="str">
        <x:v>Motos</x:v>
      </x:c>
      <x:c r="S21" s="99" t="n">
        <x:f>SUMIF('Datos Búsquedas'!$A$2:$A$900,"Motos",'Datos Búsquedas'!$C$2:$C$900)</x:f>
        <x:v>228</x:v>
      </x:c>
      <x:c r="T21" s="99" t="n">
        <x:f>SUMIF('Datos Búsquedas'!$A$2:$A$900,"Motos",'Datos Búsquedas'!$E$2:$E$900)</x:f>
        <x:v>12</x:v>
      </x:c>
      <x:c r="U21" s="99" t="n">
        <x:f>SUMIF('Datos Búsquedas'!$A$2:$A$900,"Motos",'Datos Búsquedas'!$I$2:$I$900)</x:f>
        <x:v>0</x:v>
      </x:c>
      <x:c r="V21" s="99" t="str">
        <x:v>24/07</x:v>
      </x:c>
      <x:c r="W21" s="101" t="n">
        <x:v>0.4951</x:v>
      </x:c>
      <x:c r="X21" s="99" t="str">
        <x:v>215 50 r17</x:v>
      </x:c>
      <x:c r="Y21" s="99" t="n">
        <x:f>SUMIF('Datos Búsquedas'!$A$2:$A$900,X21,'Datos Búsquedas'!$E$2:$E$900)</x:f>
        <x:v>43</x:v>
      </x:c>
      <x:c r="Z21" s="99" t="n">
        <x:f>SUMIF('Datos Búsquedas'!$A$2:$A$900,X21,'Datos Búsquedas'!$C$2:$C$900)</x:f>
        <x:v>34</x:v>
      </x:c>
      <x:c r="AA21" s="101" t="n">
        <x:f>IF(Z21=0,0,Y21/Z21)</x:f>
        <x:v>1.2647058823529411</x:v>
      </x:c>
    </x:row>
    <x:row r="22">
      <x:c r="R22" s="99" t="str">
        <x:v>motos</x:v>
      </x:c>
      <x:c r="S22" s="99" t="n">
        <x:f>SUMIF('Datos Búsquedas'!$A$2:$A$900,"motos",'Datos Búsquedas'!$C$2:$C$900)</x:f>
        <x:v>228</x:v>
      </x:c>
      <x:c r="T22" s="99" t="n">
        <x:f>SUMIF('Datos Búsquedas'!$A$2:$A$900,"motos",'Datos Búsquedas'!$E$2:$E$900)</x:f>
        <x:v>12</x:v>
      </x:c>
      <x:c r="U22" s="99" t="n">
        <x:f>SUMIF('Datos Búsquedas'!$A$2:$A$900,"motos",'Datos Búsquedas'!$I$2:$I$900)</x:f>
        <x:v>0</x:v>
      </x:c>
      <x:c r="V22" s="99"/>
      <x:c r="W22" s="99"/>
      <x:c r="X22" s="99" t="str">
        <x:v>195 55 r15</x:v>
      </x:c>
      <x:c r="Y22" s="99" t="n">
        <x:f>SUMIF('Datos Búsquedas'!$A$2:$A$900,X22,'Datos Búsquedas'!$E$2:$E$900)</x:f>
        <x:v>41</x:v>
      </x:c>
      <x:c r="Z22" s="99" t="n">
        <x:f>SUMIF('Datos Búsquedas'!$A$2:$A$900,X22,'Datos Búsquedas'!$C$2:$C$900)</x:f>
        <x:v>28</x:v>
      </x:c>
      <x:c r="AA22" s="101" t="n">
        <x:f>IF(Z22=0,0,Y22/Z22)</x:f>
        <x:v>1.4642857142857142</x:v>
      </x:c>
    </x:row>
    <x:row r="23">
      <x:c r="R23" s="99" t="str">
        <x:v>205 55 16</x:v>
      </x:c>
      <x:c r="S23" s="99" t="n">
        <x:f>SUMIF('Datos Búsquedas'!$A$2:$A$900,"205 55 16",'Datos Búsquedas'!$C$2:$C$900)</x:f>
        <x:v>91</x:v>
      </x:c>
      <x:c r="T23" s="99" t="n">
        <x:f>SUMIF('Datos Búsquedas'!$A$2:$A$900,"205 55 16",'Datos Búsquedas'!$E$2:$E$900)</x:f>
        <x:v>97</x:v>
      </x:c>
      <x:c r="U23" s="99" t="n">
        <x:f>SUMIF('Datos Búsquedas'!$A$2:$A$900,"205 55 16",'Datos Búsquedas'!$I$2:$I$900)</x:f>
        <x:v>0</x:v>
      </x:c>
      <x:c r="V23" s="99"/>
      <x:c r="W23" s="99"/>
      <x:c r="X23" s="99" t="str">
        <x:v>205 60 16</x:v>
      </x:c>
      <x:c r="Y23" s="99" t="n">
        <x:f>SUMIF('Datos Búsquedas'!$A$2:$A$900,X23,'Datos Búsquedas'!$E$2:$E$900)</x:f>
        <x:v>41</x:v>
      </x:c>
      <x:c r="Z23" s="99" t="n">
        <x:f>SUMIF('Datos Búsquedas'!$A$2:$A$900,X23,'Datos Búsquedas'!$C$2:$C$900)</x:f>
        <x:v>26</x:v>
      </x:c>
      <x:c r="AA23" s="101" t="n">
        <x:f>IF(Z23=0,0,Y23/Z23)</x:f>
        <x:v>1.5769230769230769</x:v>
      </x:c>
    </x:row>
    <x:row r="24">
      <x:c r="R24" s="99"/>
      <x:c r="S24" s="99"/>
      <x:c r="T24" s="99"/>
      <x:c r="U24" s="99"/>
      <x:c r="V24" s="99"/>
      <x:c r="W24" s="99"/>
      <x:c r="X24" s="99"/>
      <x:c r="Y24" s="99"/>
      <x:c r="Z24" s="99"/>
      <x:c r="AA24" s="99"/>
    </x:row>
    <x:row r="25">
      <x:c r="R25" s="99"/>
      <x:c r="S25" s="99"/>
      <x:c r="T25" s="99"/>
      <x:c r="U25" s="99"/>
      <x:c r="V25" s="99"/>
      <x:c r="W25" s="99"/>
      <x:c r="X25" s="99"/>
      <x:c r="Y25" s="99"/>
      <x:c r="Z25" s="99"/>
      <x:c r="AA25" s="99"/>
    </x:row>
    <x:row r="26">
      <x:c r="R26" s="99" t="str">
        <x:v>Oportunidad sin clicks</x:v>
      </x:c>
      <x:c r="S26" s="99" t="str">
        <x:v>Búsquedas</x:v>
      </x:c>
      <x:c r="T26" s="99" t="str">
        <x:v>Clicks</x:v>
      </x:c>
      <x:c r="U26" s="99" t="str">
        <x:v>Búsquedas únicas</x:v>
      </x:c>
      <x:c r="V26" s="99"/>
      <x:c r="W26" s="99"/>
      <x:c r="X26" s="99" t="str">
        <x:v>Término convertido</x:v>
      </x:c>
      <x:c r="Y26" s="99" t="str">
        <x:v>Órdenes</x:v>
      </x:c>
      <x:c r="Z26" s="99" t="str">
        <x:v>Ventas</x:v>
      </x:c>
      <x:c r="AA26" s="99" t="str">
        <x:v>Conversión</x:v>
      </x:c>
    </x:row>
    <x:row r="27">
      <x:c r="R27" s="99" t="str">
        <x:v>175 70 r13 fate prestiv…</x:v>
      </x:c>
      <x:c r="S27" s="99" t="n">
        <x:f>SUMIF('Datos Búsquedas'!$A$2:$A$900,"175-70-r13-fate-prestiva-82-t",'Datos Búsquedas'!$C$2:$C$900)</x:f>
        <x:v>431</x:v>
      </x:c>
      <x:c r="T27" s="99" t="n">
        <x:f>SUMIF('Datos Búsquedas'!$A$2:$A$900,"175-70-r13-fate-prestiva-82-t",'Datos Búsquedas'!$E$2:$E$900)</x:f>
        <x:v>0</x:v>
      </x:c>
      <x:c r="U27" s="99" t="n">
        <x:f>SUMIF('Datos Búsquedas'!$A$2:$A$900,"175-70-r13-fate-prestiva-82-t",'Datos Búsquedas'!$D$2:$D$900)</x:f>
        <x:v>231</x:v>
      </x:c>
      <x:c r="V27" s="99"/>
      <x:c r="W27" s="99"/>
      <x:c r="X27" s="99" t="str">
        <x:v>bfgoodrich all</x:v>
      </x:c>
      <x:c r="Y27" s="99" t="n">
        <x:f>SUMIF('Datos Búsquedas'!$A$2:$A$900,X27,'Datos Búsquedas'!$I$2:$I$900)</x:f>
        <x:v>1</x:v>
      </x:c>
      <x:c r="Z27" s="100" t="n">
        <x:f>SUMIF('Datos Búsquedas'!$A$2:$A$900,X27,'Datos Búsquedas'!$J$2:$J$900)</x:f>
        <x:v>929011.2</x:v>
      </x:c>
      <x:c r="AA27" s="101" t="n">
        <x:f>SUMIF('Datos Búsquedas'!$A$2:$A$900,X27,'Datos Búsquedas'!$H$2:$H$900)</x:f>
        <x:v>0.3333</x:v>
      </x:c>
    </x:row>
    <x:row r="28">
      <x:c r="R28" s="99" t="str">
        <x:v>205 45 r17 michelin pil…</x:v>
      </x:c>
      <x:c r="S28" s="99" t="n">
        <x:f>SUMIF('Datos Búsquedas'!$A$2:$A$900,"205-45-r17-michelin-pilot-sport-5-88-y",'Datos Búsquedas'!$C$2:$C$900)</x:f>
        <x:v>188</x:v>
      </x:c>
      <x:c r="T28" s="99" t="n">
        <x:f>SUMIF('Datos Búsquedas'!$A$2:$A$900,"205-45-r17-michelin-pilot-sport-5-88-y",'Datos Búsquedas'!$E$2:$E$900)</x:f>
        <x:v>0</x:v>
      </x:c>
      <x:c r="U28" s="99" t="n">
        <x:f>SUMIF('Datos Búsquedas'!$A$2:$A$900,"205-45-r17-michelin-pilot-sport-5-88-y",'Datos Búsquedas'!$D$2:$D$900)</x:f>
        <x:v>94</x:v>
      </x:c>
      <x:c r="V28" s="99"/>
      <x:c r="W28" s="99"/>
      <x:c r="X28" s="99" t="str">
        <x:v>265 70 16</x:v>
      </x:c>
      <x:c r="Y28" s="99" t="n">
        <x:f>SUMIF('Datos Búsquedas'!$A$2:$A$900,X28,'Datos Búsquedas'!$I$2:$I$900)</x:f>
        <x:v>1</x:v>
      </x:c>
      <x:c r="Z28" s="100" t="n">
        <x:f>SUMIF('Datos Búsquedas'!$A$2:$A$900,X28,'Datos Búsquedas'!$J$2:$J$900)</x:f>
        <x:v>724860</x:v>
      </x:c>
      <x:c r="AA28" s="101" t="n">
        <x:f>SUMIF('Datos Búsquedas'!$A$2:$A$900,X28,'Datos Búsquedas'!$H$2:$H$900)</x:f>
        <x:v>0.25</x:v>
      </x:c>
    </x:row>
    <x:row r="29">
      <x:c r="R29" s="99" t="str">
        <x:v>205 55 r16 michelin pri…</x:v>
      </x:c>
      <x:c r="S29" s="99" t="n">
        <x:f>SUMIF('Datos Búsquedas'!$A$2:$A$900,"205-55-r16-michelin-primacy-3-run-flat-91v",'Datos Búsquedas'!$C$2:$C$900)</x:f>
        <x:v>154</x:v>
      </x:c>
      <x:c r="T29" s="99" t="n">
        <x:f>SUMIF('Datos Búsquedas'!$A$2:$A$900,"205-55-r16-michelin-primacy-3-run-flat-91v",'Datos Búsquedas'!$E$2:$E$900)</x:f>
        <x:v>0</x:v>
      </x:c>
      <x:c r="U29" s="99" t="n">
        <x:f>SUMIF('Datos Búsquedas'!$A$2:$A$900,"205-55-r16-michelin-primacy-3-run-flat-91v",'Datos Búsquedas'!$D$2:$D$900)</x:f>
        <x:v>117</x:v>
      </x:c>
      <x:c r="V29" s="99"/>
      <x:c r="W29" s="99"/>
      <x:c r="X29" s="99"/>
      <x:c r="Y29" s="99"/>
      <x:c r="Z29" s="99"/>
      <x:c r="AA29" s="99"/>
    </x:row>
    <x:row r="30">
      <x:c r="R30" s="99" t="str">
        <x:v>185 65 r15 michelin ene…</x:v>
      </x:c>
      <x:c r="S30" s="99" t="n">
        <x:f>SUMIF('Datos Búsquedas'!$A$2:$A$900,"185-65-r15-michelin-energy-xm2plus-88h",'Datos Búsquedas'!$C$2:$C$900)</x:f>
        <x:v>143</x:v>
      </x:c>
      <x:c r="T30" s="99" t="n">
        <x:f>SUMIF('Datos Búsquedas'!$A$2:$A$900,"185-65-r15-michelin-energy-xm2plus-88h",'Datos Búsquedas'!$E$2:$E$900)</x:f>
        <x:v>0</x:v>
      </x:c>
      <x:c r="U30" s="99" t="n">
        <x:f>SUMIF('Datos Búsquedas'!$A$2:$A$900,"185-65-r15-michelin-energy-xm2plus-88h",'Datos Búsquedas'!$D$2:$D$900)</x:f>
        <x:v>106</x:v>
      </x:c>
      <x:c r="V30" s="99"/>
      <x:c r="W30" s="99"/>
      <x:c r="X30" s="99"/>
      <x:c r="Y30" s="99"/>
      <x:c r="Z30" s="99"/>
      <x:c r="AA30" s="99"/>
    </x:row>
    <x:row r="31">
      <x:c r="R31" s="99" t="str">
        <x:v>265 70 r16 michelin ltx…</x:v>
      </x:c>
      <x:c r="S31" s="99" t="n">
        <x:f>SUMIF('Datos Búsquedas'!$A$2:$A$900,"265-70-r16-michelin-ltx-force-112t",'Datos Búsquedas'!$C$2:$C$900)</x:f>
        <x:v>62</x:v>
      </x:c>
      <x:c r="T31" s="99" t="n">
        <x:f>SUMIF('Datos Búsquedas'!$A$2:$A$900,"265-70-r16-michelin-ltx-force-112t",'Datos Búsquedas'!$E$2:$E$900)</x:f>
        <x:v>0</x:v>
      </x:c>
      <x:c r="U31" s="99" t="n">
        <x:f>SUMIF('Datos Búsquedas'!$A$2:$A$900,"265-70-r16-michelin-ltx-force-112t",'Datos Búsquedas'!$D$2:$D$900)</x:f>
        <x:v>38</x:v>
      </x:c>
      <x:c r="V31" s="99"/>
      <x:c r="W31" s="99"/>
      <x:c r="X31" s="99"/>
      <x:c r="Y31" s="99"/>
      <x:c r="Z31" s="99"/>
      <x:c r="AA31" s="99"/>
    </x:row>
    <x:row r="32">
      <x:c r="R32" s="99" t="str">
        <x:v>265 65 r17 michelin x l…</x:v>
      </x:c>
      <x:c r="S32" s="99" t="n">
        <x:f>SUMIF('Datos Búsquedas'!$A$2:$A$900,"265-65-r17-michelin-x-lt-a-s-112t",'Datos Búsquedas'!$C$2:$C$900)</x:f>
        <x:v>56</x:v>
      </x:c>
      <x:c r="T32" s="99" t="n">
        <x:f>SUMIF('Datos Búsquedas'!$A$2:$A$900,"265-65-r17-michelin-x-lt-a-s-112t",'Datos Búsquedas'!$E$2:$E$900)</x:f>
        <x:v>0</x:v>
      </x:c>
      <x:c r="U32" s="99" t="n">
        <x:f>SUMIF('Datos Búsquedas'!$A$2:$A$900,"265-65-r17-michelin-x-lt-a-s-112t",'Datos Búsquedas'!$D$2:$D$900)</x:f>
        <x:v>37</x:v>
      </x:c>
      <x:c r="V32" s="99"/>
      <x:c r="W32" s="99"/>
      <x:c r="X32" s="99"/>
      <x:c r="Y32" s="99"/>
      <x:c r="Z32" s="99"/>
      <x:c r="AA32" s="99"/>
    </x:row>
    <x:row r="33">
      <x:c r="R33" s="99" t="str">
        <x:v>215</x:v>
      </x:c>
      <x:c r="S33" s="99" t="n">
        <x:f>SUMIF('Datos Búsquedas'!$A$2:$A$900,"215",'Datos Búsquedas'!$C$2:$C$900)</x:f>
        <x:v>44</x:v>
      </x:c>
      <x:c r="T33" s="99" t="n">
        <x:f>SUMIF('Datos Búsquedas'!$A$2:$A$900,"215",'Datos Búsquedas'!$E$2:$E$900)</x:f>
        <x:v>0</x:v>
      </x:c>
      <x:c r="U33" s="99" t="n">
        <x:f>SUMIF('Datos Búsquedas'!$A$2:$A$900,"215",'Datos Búsquedas'!$D$2:$D$900)</x:f>
        <x:v>28</x:v>
      </x:c>
      <x:c r="V33" s="99"/>
      <x:c r="W33" s="99"/>
      <x:c r="X33" s="99"/>
      <x:c r="Y33" s="99"/>
      <x:c r="Z33" s="99"/>
      <x:c r="AA33" s="99"/>
    </x:row>
    <x:row r="34">
      <x:c r="R34" s="99" t="str">
        <x:v>205 55 r16 triangle te …</x:v>
      </x:c>
      <x:c r="S34" s="99" t="n">
        <x:f>SUMIF('Datos Búsquedas'!$A$2:$A$900,"205-55-r16-triangle-te-307-91-v",'Datos Búsquedas'!$C$2:$C$900)</x:f>
        <x:v>43</x:v>
      </x:c>
      <x:c r="T34" s="99" t="n">
        <x:f>SUMIF('Datos Búsquedas'!$A$2:$A$900,"205-55-r16-triangle-te-307-91-v",'Datos Búsquedas'!$E$2:$E$900)</x:f>
        <x:v>0</x:v>
      </x:c>
      <x:c r="U34" s="99" t="n">
        <x:f>SUMIF('Datos Búsquedas'!$A$2:$A$900,"205-55-r16-triangle-te-307-91-v",'Datos Búsquedas'!$D$2:$D$900)</x:f>
        <x:v>27</x:v>
      </x:c>
      <x:c r="V34" s="99"/>
      <x:c r="W34" s="99"/>
      <x:c r="X34" s="99"/>
      <x:c r="Y34" s="99"/>
      <x:c r="Z34" s="99"/>
      <x:c r="AA34" s="99"/>
    </x:row>
    <x:row r="35">
      <x:c r="R35" s="99" t="str">
        <x:v>super brillo protector …</x:v>
      </x:c>
      <x:c r="S35" s="99" t="n">
        <x:f>SUMIF('Datos Búsquedas'!$A$2:$A$900,"super-brillo-protector-michelin-330-ml",'Datos Búsquedas'!$C$2:$C$900)</x:f>
        <x:v>42</x:v>
      </x:c>
      <x:c r="T35" s="99" t="n">
        <x:f>SUMIF('Datos Búsquedas'!$A$2:$A$900,"super-brillo-protector-michelin-330-ml",'Datos Búsquedas'!$E$2:$E$900)</x:f>
        <x:v>0</x:v>
      </x:c>
      <x:c r="U35" s="99" t="n">
        <x:f>SUMIF('Datos Búsquedas'!$A$2:$A$900,"super-brillo-protector-michelin-330-ml",'Datos Búsquedas'!$D$2:$D$900)</x:f>
        <x:v>29</x:v>
      </x:c>
      <x:c r="V35" s="99"/>
      <x:c r="W35" s="99"/>
      <x:c r="X35" s="99"/>
      <x:c r="Y35" s="99"/>
      <x:c r="Z35" s="99"/>
      <x:c r="AA35" s="99"/>
    </x:row>
    <x:row r="36">
      <x:c r="R36" s="99" t="str">
        <x:v>265 65 r18 bfgoodrich a…</x:v>
      </x:c>
      <x:c r="S36" s="99" t="n">
        <x:f>SUMIF('Datos Búsquedas'!$A$2:$A$900,"265-65-r18-bfgoodrich-all-terrain-t-a-ko2-117-114r",'Datos Búsquedas'!$C$2:$C$900)</x:f>
        <x:v>40</x:v>
      </x:c>
      <x:c r="T36" s="99" t="n">
        <x:f>SUMIF('Datos Búsquedas'!$A$2:$A$900,"265-65-r18-bfgoodrich-all-terrain-t-a-ko2-117-114r",'Datos Búsquedas'!$E$2:$E$900)</x:f>
        <x:v>0</x:v>
      </x:c>
      <x:c r="U36" s="99" t="n">
        <x:f>SUMIF('Datos Búsquedas'!$A$2:$A$900,"265-65-r18-bfgoodrich-all-terrain-t-a-ko2-117-114r",'Datos Búsquedas'!$D$2:$D$900)</x:f>
        <x:v>25</x:v>
      </x:c>
      <x:c r="V36" s="99"/>
      <x:c r="W36" s="99"/>
      <x:c r="X36" s="99"/>
      <x:c r="Y36" s="99"/>
      <x:c r="Z36" s="99"/>
      <x:c r="AA36" s="99"/>
    </x:row>
    <x:row r="37">
      <x:c r="R37" s="99"/>
      <x:c r="S37" s="99"/>
      <x:c r="T37" s="99"/>
      <x:c r="U37" s="99"/>
      <x:c r="V37" s="99"/>
      <x:c r="W37" s="99"/>
      <x:c r="X37" s="99"/>
      <x:c r="Y37" s="99"/>
      <x:c r="Z37" s="99"/>
      <x:c r="AA37" s="99"/>
    </x:row>
    <x:row r="38">
      <x:c r="R38" s="99"/>
      <x:c r="S38" s="99"/>
      <x:c r="T38" s="99"/>
      <x:c r="U38" s="99"/>
      <x:c r="V38" s="99"/>
      <x:c r="W38" s="99"/>
      <x:c r="X38" s="99"/>
      <x:c r="Y38" s="99"/>
      <x:c r="Z38" s="99"/>
      <x:c r="AA38" s="99"/>
    </x:row>
    <x:row r="39">
      <x:c r="R39" s="99" t="str">
        <x:v>Tipo de término</x:v>
      </x:c>
      <x:c r="S39" s="99" t="str">
        <x:v>Búsquedas</x:v>
      </x:c>
      <x:c r="T39" s="99"/>
      <x:c r="U39" s="99"/>
      <x:c r="V39" s="99"/>
      <x:c r="W39" s="99"/>
      <x:c r="X39" s="99"/>
      <x:c r="Y39" s="99"/>
      <x:c r="Z39" s="99"/>
      <x:c r="AA39" s="99"/>
    </x:row>
    <x:row r="40">
      <x:c r="R40" s="99" t="str">
        <x:v>Producto / URL</x:v>
      </x:c>
      <x:c r="S40" s="99" t="n">
        <x:f>SUMIF('Datos Búsquedas'!$B$2:$B$900,R40,'Datos Búsquedas'!$C$2:$C$900)</x:f>
        <x:v>2133</x:v>
      </x:c>
      <x:c r="T40" s="99"/>
      <x:c r="U40" s="99"/>
      <x:c r="V40" s="99"/>
      <x:c r="W40" s="99"/>
      <x:c r="X40" s="99"/>
      <x:c r="Y40" s="99"/>
      <x:c r="Z40" s="99"/>
      <x:c r="AA40" s="99"/>
    </x:row>
    <x:row r="41">
      <x:c r="R41" s="99" t="str">
        <x:v>Medida</x:v>
      </x:c>
      <x:c r="S41" s="99" t="n">
        <x:f>SUMIF('Datos Búsquedas'!$B$2:$B$900,R41,'Datos Búsquedas'!$C$2:$C$900)</x:f>
        <x:v>1772</x:v>
      </x:c>
      <x:c r="T41" s="99"/>
      <x:c r="U41" s="99"/>
      <x:c r="V41" s="99"/>
      <x:c r="W41" s="99"/>
      <x:c r="X41" s="99"/>
      <x:c r="Y41" s="99"/>
      <x:c r="Z41" s="99"/>
      <x:c r="AA41" s="99"/>
    </x:row>
    <x:row r="42">
      <x:c r="R42" s="99" t="str">
        <x:v>Categoría</x:v>
      </x:c>
      <x:c r="S42" s="99" t="n">
        <x:f>SUMIF('Datos Búsquedas'!$B$2:$B$900,R42,'Datos Búsquedas'!$C$2:$C$900)</x:f>
        <x:v>1322</x:v>
      </x:c>
      <x:c r="T42" s="99"/>
      <x:c r="U42" s="99"/>
      <x:c r="V42" s="99"/>
      <x:c r="W42" s="99"/>
      <x:c r="X42" s="99"/>
      <x:c r="Y42" s="99"/>
      <x:c r="Z42" s="99"/>
      <x:c r="AA42" s="99"/>
    </x:row>
    <x:row r="43">
      <x:c r="R43" s="99" t="str">
        <x:v>Marca</x:v>
      </x:c>
      <x:c r="S43" s="99" t="n">
        <x:f>SUMIF('Datos Búsquedas'!$B$2:$B$900,R43,'Datos Búsquedas'!$C$2:$C$900)</x:f>
        <x:v>80</x:v>
      </x:c>
      <x:c r="T43" s="99"/>
      <x:c r="U43" s="99"/>
      <x:c r="V43" s="99"/>
      <x:c r="W43" s="99"/>
      <x:c r="X43" s="99"/>
      <x:c r="Y43" s="99"/>
      <x:c r="Z43" s="99"/>
      <x:c r="AA43" s="99"/>
    </x:row>
    <x:row r="44">
      <x:c r="R44" s="99" t="str">
        <x:v>Otro</x:v>
      </x:c>
      <x:c r="S44" s="99" t="n">
        <x:f>SUMIF('Datos Búsquedas'!$B$2:$B$900,R44,'Datos Búsquedas'!$C$2:$C$900)</x:f>
        <x:v>1542</x:v>
      </x:c>
      <x:c r="T44" s="99"/>
      <x:c r="U44" s="99"/>
      <x:c r="V44" s="99"/>
      <x:c r="W44" s="99"/>
      <x:c r="X44" s="99"/>
      <x:c r="Y44" s="99"/>
      <x:c r="Z44" s="99"/>
      <x:c r="AA44" s="99"/>
    </x:row>
    <x:row r="61">
      <x:c r="A61" s="69" t="str">
        <x:v>LECTURA EJECUTIVA Y ALERTA DE CALIDAD</x:v>
      </x:c>
      <x:c r="B61" s="69"/>
      <x:c r="C61" s="69"/>
      <x:c r="D61" s="69"/>
      <x:c r="E61" s="69"/>
      <x:c r="F61" s="69"/>
      <x:c r="G61" s="69"/>
      <x:c r="H61" s="69"/>
      <x:c r="I61" s="69"/>
      <x:c r="J61" s="69"/>
      <x:c r="K61" s="69"/>
      <x:c r="L61" s="69"/>
      <x:c r="M61" s="69"/>
      <x:c r="N61" s="69"/>
      <x:c r="O61" s="69"/>
      <x:c r="P61" s="69"/>
    </x:row>
    <x:row r="62">
      <x:c r="A62" s="89" t="str">
        <x:v>En el bloque diario hubo 4.239 búsquedas, 1.554 clicks y 2 órdenes: CTR ponderado de 36,7% y conversión de 0,34% sobre clicks únicos. Las mayores oportunidades sin clicks fueron 175/70 R13 Fate Prestiva (431 búsquedas), Michelin Pilot Sport 5 205/45 R17 (188) y Michelin Primacy 3 Run Flat 205/55 R16 (154). La tabla por términos suma 6.849 búsquedas y no informa su período; no debe conciliarse ni compararse directamente con el bloque diario de 4.239 búsquedas.</x:v>
      </x:c>
      <x:c r="B62" s="89"/>
      <x:c r="C62" s="89"/>
      <x:c r="D62" s="89"/>
      <x:c r="E62" s="89"/>
      <x:c r="F62" s="89"/>
      <x:c r="G62" s="89"/>
      <x:c r="H62" s="89"/>
      <x:c r="I62" s="89"/>
      <x:c r="J62" s="89"/>
      <x:c r="K62" s="89"/>
      <x:c r="L62" s="89"/>
      <x:c r="M62" s="89"/>
      <x:c r="N62" s="89"/>
      <x:c r="O62" s="89"/>
      <x:c r="P62" s="89"/>
    </x:row>
    <x:row r="63">
      <x:c r="A63" s="89"/>
      <x:c r="B63" s="89"/>
      <x:c r="C63" s="89"/>
      <x:c r="D63" s="89"/>
      <x:c r="E63" s="89"/>
      <x:c r="F63" s="89"/>
      <x:c r="G63" s="89"/>
      <x:c r="H63" s="89"/>
      <x:c r="I63" s="89"/>
      <x:c r="J63" s="89"/>
      <x:c r="K63" s="89"/>
      <x:c r="L63" s="89"/>
      <x:c r="M63" s="89"/>
      <x:c r="N63" s="89"/>
      <x:c r="O63" s="89"/>
      <x:c r="P63" s="89"/>
    </x:row>
    <x:row r="64">
      <x:c r="A64" s="89"/>
      <x:c r="B64" s="89"/>
      <x:c r="C64" s="89"/>
      <x:c r="D64" s="89"/>
      <x:c r="E64" s="89"/>
      <x:c r="F64" s="89"/>
      <x:c r="G64" s="89"/>
      <x:c r="H64" s="89"/>
      <x:c r="I64" s="89"/>
      <x:c r="J64" s="89"/>
      <x:c r="K64" s="89"/>
      <x:c r="L64" s="89"/>
      <x:c r="M64" s="89"/>
      <x:c r="N64" s="89"/>
      <x:c r="O64" s="89"/>
      <x:c r="P64" s="89"/>
    </x:row>
    <x:row r="65">
      <x:c r="A65" s="89"/>
      <x:c r="B65" s="89"/>
      <x:c r="C65" s="89"/>
      <x:c r="D65" s="89"/>
      <x:c r="E65" s="89"/>
      <x:c r="F65" s="89"/>
      <x:c r="G65" s="89"/>
      <x:c r="H65" s="89"/>
      <x:c r="I65" s="89"/>
      <x:c r="J65" s="89"/>
      <x:c r="K65" s="89"/>
      <x:c r="L65" s="89"/>
      <x:c r="M65" s="89"/>
      <x:c r="N65" s="89"/>
      <x:c r="O65" s="89"/>
      <x:c r="P65" s="89"/>
    </x:row>
  </x:sheetData>
  <x:mergeCells>
    <x:mergeCell ref="A1:P2"/>
    <x:mergeCell ref="A3:P3"/>
    <x:mergeCell ref="A4:D4"/>
    <x:mergeCell ref="A5:D7"/>
    <x:mergeCell ref="E4:H4"/>
    <x:mergeCell ref="E5:H7"/>
    <x:mergeCell ref="I4:L4"/>
    <x:mergeCell ref="I5:L7"/>
    <x:mergeCell ref="M4:P4"/>
    <x:mergeCell ref="M5:P7"/>
    <x:mergeCell ref="A8:D8"/>
    <x:mergeCell ref="A9:D10"/>
    <x:mergeCell ref="E8:H8"/>
    <x:mergeCell ref="E9:H10"/>
    <x:mergeCell ref="I8:L8"/>
    <x:mergeCell ref="I9:L10"/>
    <x:mergeCell ref="M8:P8"/>
    <x:mergeCell ref="M9:P10"/>
    <x:mergeCell ref="A61:P61"/>
    <x:mergeCell ref="A62:P65"/>
  </x:mergeCells>
  <x:pageMargins left="0.7" right="0.7" top="0.75" bottom="0.75" header="0.3" footer="0.3"/>
  <x:drawing xmlns:r="http://schemas.openxmlformats.org/officeDocument/2006/relationships" r:id="R406ed291071a4a3d"/>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2" hidden="0" customWidth="1"/>
    <x:col min="4" max="4" width="26" hidden="0" customWidth="1"/>
    <x:col min="5" max="5" width="14" hidden="0" customWidth="1"/>
    <x:col min="6" max="6" width="16" hidden="0" customWidth="1"/>
    <x:col min="7" max="7" width="20" hidden="0" customWidth="1"/>
    <x:col min="8" max="8" width="18" hidden="0" customWidth="1"/>
    <x:col min="9" max="9" width="4" hidden="0" customWidth="1"/>
    <x:col min="10" max="10" width="18" hidden="0" customWidth="1"/>
    <x:col min="11" max="11" width="12" hidden="0" customWidth="1"/>
  </x:cols>
  <x:sheetData>
    <x:row r="1" ht="27" customHeight="1">
      <x:c r="A1" s="14" t="str">
        <x:v>SERVICIOS Y PRODUCTOS COMBINADOS</x:v>
      </x:c>
      <x:c r="B1" s="14"/>
      <x:c r="C1" s="14"/>
      <x:c r="D1" s="14"/>
      <x:c r="E1" s="14"/>
      <x:c r="F1" s="14"/>
      <x:c r="G1" s="14"/>
      <x:c r="H1" s="14"/>
      <x:c r="I1" s="14"/>
      <x:c r="J1" s="14"/>
    </x:row>
    <x:row r="2" ht="27" customHeight="1">
      <x:c r="A2" s="14"/>
      <x:c r="B2" s="14"/>
      <x:c r="C2" s="14"/>
      <x:c r="D2" s="14"/>
      <x:c r="E2" s="14"/>
      <x:c r="F2" s="14"/>
      <x:c r="G2" s="14"/>
      <x:c r="H2" s="14"/>
      <x:c r="I2" s="14"/>
      <x:c r="J2" s="14"/>
    </x:row>
    <x:row r="3" ht="22" customHeight="1">
      <x:c r="A3" s="18" t="str">
        <x:v>Separación explícita de componentes sin inventar una distribución del importe</x:v>
      </x:c>
      <x:c r="B3" s="18"/>
      <x:c r="C3" s="18"/>
      <x:c r="D3" s="18"/>
      <x:c r="E3" s="18"/>
      <x:c r="F3" s="18"/>
      <x:c r="G3" s="18"/>
      <x:c r="H3" s="18"/>
      <x:c r="I3" s="18"/>
      <x:c r="J3" s="18"/>
    </x:row>
    <x:row r="5">
      <x:c r="A5" s="69" t="str">
        <x:v>1. SERVICIOS ADICIONALES IDENTIFICADOS</x:v>
      </x:c>
      <x:c r="B5" s="69"/>
      <x:c r="C5" s="69"/>
      <x:c r="D5" s="69"/>
      <x:c r="E5" s="69"/>
      <x:c r="F5" s="69"/>
      <x:c r="G5" s="69"/>
      <x:c r="H5" s="69"/>
      <x:c r="I5" s="69"/>
      <x:c r="J5" s="69"/>
    </x:row>
    <x:row r="7">
      <x:c r="A7" s="3" t="str">
        <x:v>ID operación</x:v>
      </x:c>
      <x:c r="B7" s="3" t="str">
        <x:v>Fecha</x:v>
      </x:c>
      <x:c r="C7" s="3" t="str">
        <x:v>Producto principal</x:v>
      </x:c>
      <x:c r="D7" s="3" t="str">
        <x:v>Unidades producto</x:v>
      </x:c>
      <x:c r="E7" s="3" t="str">
        <x:v>Servicio</x:v>
      </x:c>
      <x:c r="F7" s="3" t="str">
        <x:v>Cantidad</x:v>
      </x:c>
      <x:c r="G7" s="3" t="str">
        <x:v>Importe total operación</x:v>
      </x:c>
      <x:c r="H7" s="3" t="str">
        <x:v>Importe del servicio</x:v>
      </x:c>
      <x:c r="J7" t="str">
        <x:v>Servicio</x:v>
      </x:c>
      <x:c r="K7" t="str">
        <x:v>Cantidad</x:v>
      </x:c>
    </x:row>
    <x:row r="8">
      <x:c r="A8" t="n">
        <x:v>2</x:v>
      </x:c>
      <x:c r="B8" s="5" t="n">
        <x:v>46234</x:v>
      </x:c>
      <x:c r="C8" t="str">
        <x:v>Nexen 195/65 R15</x:v>
      </x:c>
      <x:c r="D8" t="n">
        <x:v>4</x:v>
      </x:c>
      <x:c r="E8" t="str">
        <x:v>Alineación</x:v>
      </x:c>
      <x:c r="F8" t="n">
        <x:v>1</x:v>
      </x:c>
      <x:c r="G8" s="6" t="n">
        <x:v>546624</x:v>
      </x:c>
      <x:c r="H8" s="6"/>
      <x:c r="J8" t="str">
        <x:v>Alineación</x:v>
      </x:c>
      <x:c r="K8" t="n">
        <x:v>1</x:v>
      </x:c>
    </x:row>
    <x:row r="9">
      <x:c r="A9" t="n">
        <x:v>2</x:v>
      </x:c>
      <x:c r="B9" s="5" t="n">
        <x:v>46234</x:v>
      </x:c>
      <x:c r="C9" t="str">
        <x:v>Nexen 195/65 R15</x:v>
      </x:c>
      <x:c r="D9" t="n">
        <x:v>4</x:v>
      </x:c>
      <x:c r="E9" t="str">
        <x:v>Balanceo</x:v>
      </x:c>
      <x:c r="F9" t="n">
        <x:v>4</x:v>
      </x:c>
      <x:c r="G9" s="6" t="n">
        <x:v>546624</x:v>
      </x:c>
      <x:c r="H9" s="6"/>
      <x:c r="J9" t="str">
        <x:v>Balanceo</x:v>
      </x:c>
      <x:c r="K9" t="n">
        <x:v>4</x:v>
      </x:c>
    </x:row>
    <x:row r="11">
      <x:c r="A11" s="92" t="str">
        <x:v>La operación por $546.624 incluye 4 neumáticos, 1 alineación y 4 balanceos. Como el archivo fuente no informa precios separados, el importe total se conserva a nivel de operación y las celdas de importe por servicio quedan vacías.</x:v>
      </x:c>
      <x:c r="B11" s="92"/>
      <x:c r="C11" s="92"/>
      <x:c r="D11" s="92"/>
      <x:c r="E11" s="92"/>
      <x:c r="F11" s="92"/>
      <x:c r="G11" s="92"/>
      <x:c r="H11" s="92"/>
      <x:c r="I11" s="92"/>
      <x:c r="J11" s="92"/>
    </x:row>
    <x:row r="12">
      <x:c r="A12" s="92"/>
      <x:c r="B12" s="92"/>
      <x:c r="C12" s="92"/>
      <x:c r="D12" s="92"/>
      <x:c r="E12" s="92"/>
      <x:c r="F12" s="92"/>
      <x:c r="G12" s="92"/>
      <x:c r="H12" s="92"/>
      <x:c r="I12" s="92"/>
      <x:c r="J12" s="92"/>
    </x:row>
    <x:row r="13">
      <x:c r="A13" s="92"/>
      <x:c r="B13" s="92"/>
      <x:c r="C13" s="92"/>
      <x:c r="D13" s="92"/>
      <x:c r="E13" s="92"/>
      <x:c r="F13" s="92"/>
      <x:c r="G13" s="92"/>
      <x:c r="H13" s="92"/>
      <x:c r="I13" s="92"/>
      <x:c r="J13" s="92"/>
    </x:row>
    <x:row r="15">
      <x:c r="A15" s="69" t="str">
        <x:v>2. OPERACIÓN CON MÁS DE UNA MEDIDA DE PRODUCTO</x:v>
      </x:c>
      <x:c r="B15" s="69"/>
      <x:c r="C15" s="69"/>
      <x:c r="D15" s="69"/>
      <x:c r="E15" s="69"/>
      <x:c r="F15" s="69"/>
      <x:c r="G15" s="69"/>
      <x:c r="H15" s="69"/>
      <x:c r="I15" s="69"/>
      <x:c r="J15" s="69"/>
    </x:row>
    <x:row r="17">
      <x:c r="A17" s="3" t="str">
        <x:v>ID operación</x:v>
      </x:c>
      <x:c r="B17" s="3" t="str">
        <x:v>Fecha</x:v>
      </x:c>
      <x:c r="C17" s="3" t="str">
        <x:v>Marca</x:v>
      </x:c>
      <x:c r="D17" s="3" t="str">
        <x:v>Producto / medida</x:v>
      </x:c>
      <x:c r="E17" s="3" t="str">
        <x:v>Cantidad</x:v>
      </x:c>
      <x:c r="F17" s="3" t="str">
        <x:v>Importe total operación</x:v>
      </x:c>
      <x:c r="G17" s="3" t="str">
        <x:v>Importe por producto</x:v>
      </x:c>
    </x:row>
    <x:row r="18">
      <x:c r="A18" t="n">
        <x:v>10</x:v>
      </x:c>
      <x:c r="B18" s="5" t="n">
        <x:v>46237</x:v>
      </x:c>
      <x:c r="C18" t="str">
        <x:v>Michelin Moto</x:v>
      </x:c>
      <x:c r="D18" t="str">
        <x:v>170/60 R17</x:v>
      </x:c>
      <x:c r="E18" t="n">
        <x:v>1</x:v>
      </x:c>
      <x:c r="F18" s="6" t="n">
        <x:v>675609.29</x:v>
      </x:c>
      <x:c r="G18" s="6"/>
    </x:row>
    <x:row r="19">
      <x:c r="A19" t="n">
        <x:v>10</x:v>
      </x:c>
      <x:c r="B19" s="5" t="n">
        <x:v>46237</x:v>
      </x:c>
      <x:c r="C19" t="str">
        <x:v>Michelin Moto</x:v>
      </x:c>
      <x:c r="D19" t="str">
        <x:v>120/70 R19</x:v>
      </x:c>
      <x:c r="E19" t="n">
        <x:v>1</x:v>
      </x:c>
      <x:c r="F19" s="6" t="n">
        <x:v>675609.29</x:v>
      </x:c>
      <x:c r="G19" s="6"/>
    </x:row>
    <x:row r="21">
      <x:c r="A21" s="73" t="str">
        <x:v>La operación por $675.609,29 contiene dos cubiertas de moto de medidas distintas. Se muestran como productos separados, pero no se asigna un importe individual porque el archivo fuente solo trae el total de la operación.</x:v>
      </x:c>
      <x:c r="B21" s="73"/>
      <x:c r="C21" s="73"/>
      <x:c r="D21" s="73"/>
      <x:c r="E21" s="73"/>
      <x:c r="F21" s="73"/>
      <x:c r="G21" s="73"/>
      <x:c r="H21" s="73"/>
      <x:c r="I21" s="73"/>
      <x:c r="J21" s="73"/>
    </x:row>
    <x:row r="22">
      <x:c r="A22" s="73"/>
      <x:c r="B22" s="73"/>
      <x:c r="C22" s="73"/>
      <x:c r="D22" s="73"/>
      <x:c r="E22" s="73"/>
      <x:c r="F22" s="73"/>
      <x:c r="G22" s="73"/>
      <x:c r="H22" s="73"/>
      <x:c r="I22" s="73"/>
      <x:c r="J22" s="73"/>
    </x:row>
    <x:row r="23">
      <x:c r="A23" s="73"/>
      <x:c r="B23" s="73"/>
      <x:c r="C23" s="73"/>
      <x:c r="D23" s="73"/>
      <x:c r="E23" s="73"/>
      <x:c r="F23" s="73"/>
      <x:c r="G23" s="73"/>
      <x:c r="H23" s="73"/>
      <x:c r="I23" s="73"/>
      <x:c r="J23" s="73"/>
    </x:row>
  </x:sheetData>
  <x:mergeCells>
    <x:mergeCell ref="A1:J2"/>
    <x:mergeCell ref="A3:J3"/>
    <x:mergeCell ref="A5:J5"/>
    <x:mergeCell ref="A11:J13"/>
    <x:mergeCell ref="A15:J15"/>
    <x:mergeCell ref="A21:J23"/>
  </x:mergeCells>
  <x:pageMargins left="0.7" right="0.7" top="0.75" bottom="0.75" header="0.3" footer="0.3"/>
  <x:drawing xmlns:r="http://schemas.openxmlformats.org/officeDocument/2006/relationships" r:id="R0f1e84f644e14f85"/>
  <x:tableParts count="2">
    <x:tablePart xmlns:r="http://schemas.openxmlformats.org/officeDocument/2006/relationships" r:id="Rd37cbfd471cc4f07"/>
    <x:tablePart xmlns:r="http://schemas.openxmlformats.org/officeDocument/2006/relationships" r:id="R3724e26f7ee240b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8" hidden="0" customWidth="1"/>
    <x:col min="4" max="4" width="16" hidden="0" customWidth="1"/>
    <x:col min="5" max="5" width="22" hidden="0" customWidth="1"/>
    <x:col min="6" max="6" width="18" hidden="0" customWidth="1"/>
    <x:col min="7" max="7" width="18" hidden="0" customWidth="1"/>
    <x:col min="8" max="8" width="35" hidden="0" customWidth="1"/>
    <x:col min="9" max="9" width="30" hidden="0" customWidth="1"/>
    <x:col min="10" max="10" width="16" hidden="0" customWidth="1"/>
    <x:col min="11" max="11" width="24" hidden="0" customWidth="1"/>
    <x:col min="12" max="12" width="30" hidden="0" customWidth="1"/>
    <x:col min="13" max="13" width="16" hidden="0" customWidth="1"/>
    <x:col min="14" max="14" width="12" hidden="0" customWidth="1"/>
    <x:col min="15" max="15" width="12" hidden="0" customWidth="1"/>
    <x:col min="16" max="16" width="20" hidden="0" customWidth="1"/>
    <x:col min="17" max="17" width="16" hidden="0" customWidth="1"/>
    <x:col min="18" max="18" width="16" hidden="0" customWidth="1"/>
    <x:col min="19" max="19" width="18" hidden="0" customWidth="1"/>
    <x:col min="20" max="20" width="55" hidden="0" customWidth="1"/>
  </x:cols>
  <x:sheetData>
    <x:row r="1" ht="34" customHeight="1">
      <x:c r="A1" s="4" t="str">
        <x:v>ID operación</x:v>
      </x:c>
      <x:c r="B1" s="4" t="str">
        <x:v>Fecha</x:v>
      </x:c>
      <x:c r="C1" s="4" t="str">
        <x:v>Día</x:v>
      </x:c>
      <x:c r="D1" s="4" t="str">
        <x:v>Importe</x:v>
      </x:c>
      <x:c r="E1" s="4" t="str">
        <x:v>Marca original</x:v>
      </x:c>
      <x:c r="F1" s="4" t="str">
        <x:v>Marca normalizada</x:v>
      </x:c>
      <x:c r="G1" s="4" t="str">
        <x:v>Segmento</x:v>
      </x:c>
      <x:c r="H1" s="4" t="str">
        <x:v>Medida original</x:v>
      </x:c>
      <x:c r="I1" s="4" t="str">
        <x:v>Medida principal</x:v>
      </x:c>
      <x:c r="J1" s="4" t="str">
        <x:v>Unidades neumáticos</x:v>
      </x:c>
      <x:c r="K1" s="4" t="str">
        <x:v>Tipo de venta</x:v>
      </x:c>
      <x:c r="L1" s="4" t="str">
        <x:v>Servicios incluidos</x:v>
      </x:c>
      <x:c r="M1" s="4" t="str">
        <x:v>Unidades de servicio</x:v>
      </x:c>
      <x:c r="N1" s="4" t="str">
        <x:v>Alineaciones</x:v>
      </x:c>
      <x:c r="O1" s="4" t="str">
        <x:v>Balanceos</x:v>
      </x:c>
      <x:c r="P1" s="4" t="str">
        <x:v>Tipo de envío</x:v>
      </x:c>
      <x:c r="Q1" s="4" t="str">
        <x:v>Promoción</x:v>
      </x:c>
      <x:c r="R1" s="4" t="str">
        <x:v>Con promoción</x:v>
      </x:c>
      <x:c r="S1" s="4" t="str">
        <x:v>Método de pago</x:v>
      </x:c>
      <x:c r="T1" s="4" t="str">
        <x:v>Observaciones</x:v>
      </x:c>
    </x:row>
    <x:row r="2">
      <x:c r="A2" s="7" t="n">
        <x:v>1</x:v>
      </x:c>
      <x:c r="B2" s="8" t="n">
        <x:v>46234</x:v>
      </x:c>
      <x:c r="C2" s="7" t="str">
        <x:v>31/07</x:v>
      </x:c>
      <x:c r="D2" s="9" t="n">
        <x:v>408561</x:v>
      </x:c>
      <x:c r="E2" s="7" t="str">
        <x:v>Yokohama</x:v>
      </x:c>
      <x:c r="F2" s="7" t="str">
        <x:v>Yokohama</x:v>
      </x:c>
      <x:c r="G2" s="7" t="str">
        <x:v>Auto / Camioneta</x:v>
      </x:c>
      <x:c r="H2" s="7" t="str">
        <x:v>175/65 r14</x:v>
      </x:c>
      <x:c r="I2" s="7" t="str">
        <x:v>175/65 R14</x:v>
      </x:c>
      <x:c r="J2" s="7" t="n">
        <x:v>4</x:v>
      </x:c>
      <x:c r="K2" s="7" t="str">
        <x:v>Solo neumáticos</x:v>
      </x:c>
      <x:c r="L2" s="7" t="str"/>
      <x:c r="M2" s="7" t="n">
        <x:v>0</x:v>
      </x:c>
      <x:c r="N2" s="7" t="n">
        <x:v>0</x:v>
      </x:c>
      <x:c r="O2" s="7" t="n">
        <x:v>0</x:v>
      </x:c>
      <x:c r="P2" s="7" t="str">
        <x:v>Retiro en sucursal</x:v>
      </x:c>
      <x:c r="Q2" s="7" t="str">
        <x:v>4x3</x:v>
      </x:c>
      <x:c r="R2" s="7" t="str">
        <x:v>Sí</x:v>
      </x:c>
      <x:c r="S2" s="7" t="str">
        <x:v>6 cuotas</x:v>
      </x:c>
      <x:c r="T2" s="7" t="str"/>
    </x:row>
    <x:row r="3">
      <x:c r="A3" s="7" t="n">
        <x:v>2</x:v>
      </x:c>
      <x:c r="B3" s="8" t="n">
        <x:v>46234</x:v>
      </x:c>
      <x:c r="C3" s="7" t="str">
        <x:v>31/07</x:v>
      </x:c>
      <x:c r="D3" s="9" t="n">
        <x:v>546624</x:v>
      </x:c>
      <x:c r="E3" s="7" t="str">
        <x:v>Nexen + Servicios</x:v>
      </x:c>
      <x:c r="F3" s="7" t="str">
        <x:v>Nexen</x:v>
      </x:c>
      <x:c r="G3" s="7" t="str">
        <x:v>Auto / Camioneta</x:v>
      </x:c>
      <x:c r="H3" s="7" t="str">
        <x:v>195/65 r15 + Alineacion y 4 balanceo</x:v>
      </x:c>
      <x:c r="I3" s="7" t="str">
        <x:v>195/65 R15</x:v>
      </x:c>
      <x:c r="J3" s="7" t="n">
        <x:v>4</x:v>
      </x:c>
      <x:c r="K3" s="7" t="str">
        <x:v>Neumáticos + servicios</x:v>
      </x:c>
      <x:c r="L3" s="7" t="str">
        <x:v>1 alineación + 4 balanceos</x:v>
      </x:c>
      <x:c r="M3" s="7" t="n">
        <x:v>5</x:v>
      </x:c>
      <x:c r="N3" s="7" t="n">
        <x:v>1</x:v>
      </x:c>
      <x:c r="O3" s="7" t="n">
        <x:v>4</x:v>
      </x:c>
      <x:c r="P3" s="7" t="str">
        <x:v>Retiro en sucursal</x:v>
      </x:c>
      <x:c r="Q3" s="7" t="str">
        <x:v>20% off</x:v>
      </x:c>
      <x:c r="R3" s="7" t="str">
        <x:v>Sí</x:v>
      </x:c>
      <x:c r="S3" s="7" t="str">
        <x:v>3 cuotas</x:v>
      </x:c>
      <x:c r="T3" s="7" t="str">
        <x:v>El importe incluye neumáticos y servicios; el origen no informa el valor individual de cada componente.</x:v>
      </x:c>
    </x:row>
    <x:row r="4">
      <x:c r="A4" s="7" t="n">
        <x:v>3</x:v>
      </x:c>
      <x:c r="B4" s="8" t="n">
        <x:v>46235</x:v>
      </x:c>
      <x:c r="C4" s="7" t="str">
        <x:v>01/08</x:v>
      </x:c>
      <x:c r="D4" s="9" t="n">
        <x:v>464704.98</x:v>
      </x:c>
      <x:c r="E4" s="7" t="str">
        <x:v>Kumho</x:v>
      </x:c>
      <x:c r="F4" s="7" t="str">
        <x:v>Kumho</x:v>
      </x:c>
      <x:c r="G4" s="7" t="str">
        <x:v>Auto / Camioneta</x:v>
      </x:c>
      <x:c r="H4" s="7" t="str">
        <x:v>225/60 r18</x:v>
      </x:c>
      <x:c r="I4" s="7" t="str">
        <x:v>225/60 R18</x:v>
      </x:c>
      <x:c r="J4" s="7" t="n">
        <x:v>1</x:v>
      </x:c>
      <x:c r="K4" s="7" t="str">
        <x:v>Solo neumáticos</x:v>
      </x:c>
      <x:c r="L4" s="7" t="str"/>
      <x:c r="M4" s="7" t="n">
        <x:v>0</x:v>
      </x:c>
      <x:c r="N4" s="7" t="n">
        <x:v>0</x:v>
      </x:c>
      <x:c r="O4" s="7" t="n">
        <x:v>0</x:v>
      </x:c>
      <x:c r="P4" s="7" t="str">
        <x:v>Flota Propia</x:v>
      </x:c>
      <x:c r="Q4" s="7" t="str">
        <x:v>Sin promo</x:v>
      </x:c>
      <x:c r="R4" s="7" t="str">
        <x:v>No</x:v>
      </x:c>
      <x:c r="S4" s="7" t="str">
        <x:v>6 cuotas</x:v>
      </x:c>
      <x:c r="T4" s="7" t="str"/>
    </x:row>
    <x:row r="5">
      <x:c r="A5" s="7" t="n">
        <x:v>4</x:v>
      </x:c>
      <x:c r="B5" s="8" t="n">
        <x:v>46235</x:v>
      </x:c>
      <x:c r="C5" s="7" t="str">
        <x:v>01/08</x:v>
      </x:c>
      <x:c r="D5" s="9" t="n">
        <x:v>493521.56</x:v>
      </x:c>
      <x:c r="E5" s="7" t="str">
        <x:v>Yokohama</x:v>
      </x:c>
      <x:c r="F5" s="7" t="str">
        <x:v>Yokohama</x:v>
      </x:c>
      <x:c r="G5" s="7" t="str">
        <x:v>Auto / Camioneta</x:v>
      </x:c>
      <x:c r="H5" s="7" t="str">
        <x:v>175/65 r14</x:v>
      </x:c>
      <x:c r="I5" s="7" t="str">
        <x:v>175/65 R14</x:v>
      </x:c>
      <x:c r="J5" s="7" t="n">
        <x:v>4</x:v>
      </x:c>
      <x:c r="K5" s="7" t="str">
        <x:v>Solo neumáticos</x:v>
      </x:c>
      <x:c r="L5" s="7" t="str"/>
      <x:c r="M5" s="7" t="n">
        <x:v>0</x:v>
      </x:c>
      <x:c r="N5" s="7" t="n">
        <x:v>0</x:v>
      </x:c>
      <x:c r="O5" s="7" t="n">
        <x:v>0</x:v>
      </x:c>
      <x:c r="P5" s="7" t="str">
        <x:v>CDS</x:v>
      </x:c>
      <x:c r="Q5" s="7" t="str">
        <x:v>4x3</x:v>
      </x:c>
      <x:c r="R5" s="7" t="str">
        <x:v>Sí</x:v>
      </x:c>
      <x:c r="S5" s="7" t="str">
        <x:v>6 cuotas</x:v>
      </x:c>
      <x:c r="T5" s="7" t="str"/>
    </x:row>
    <x:row r="6">
      <x:c r="A6" s="7" t="n">
        <x:v>5</x:v>
      </x:c>
      <x:c r="B6" s="8" t="n">
        <x:v>46235</x:v>
      </x:c>
      <x:c r="C6" s="7" t="str">
        <x:v>01/08</x:v>
      </x:c>
      <x:c r="D6" s="9" t="n">
        <x:v>213750</x:v>
      </x:c>
      <x:c r="E6" s="7" t="str">
        <x:v>Continental</x:v>
      </x:c>
      <x:c r="F6" s="7" t="str">
        <x:v>Continental</x:v>
      </x:c>
      <x:c r="G6" s="7" t="str">
        <x:v>Auto / Camioneta</x:v>
      </x:c>
      <x:c r="H6" s="7" t="str">
        <x:v>195/65 r15</x:v>
      </x:c>
      <x:c r="I6" s="7" t="str">
        <x:v>195/65 R15</x:v>
      </x:c>
      <x:c r="J6" s="7" t="n">
        <x:v>1</x:v>
      </x:c>
      <x:c r="K6" s="7" t="str">
        <x:v>Solo neumáticos</x:v>
      </x:c>
      <x:c r="L6" s="7" t="str"/>
      <x:c r="M6" s="7" t="n">
        <x:v>0</x:v>
      </x:c>
      <x:c r="N6" s="7" t="n">
        <x:v>0</x:v>
      </x:c>
      <x:c r="O6" s="7" t="n">
        <x:v>0</x:v>
      </x:c>
      <x:c r="P6" s="7" t="str">
        <x:v>Retiro en sucursal</x:v>
      </x:c>
      <x:c r="Q6" s="7" t="str">
        <x:v>Sin promo</x:v>
      </x:c>
      <x:c r="R6" s="7" t="str">
        <x:v>No</x:v>
      </x:c>
      <x:c r="S6" s="7" t="str">
        <x:v>6 cuotas</x:v>
      </x:c>
      <x:c r="T6" s="7" t="str"/>
    </x:row>
    <x:row r="7">
      <x:c r="A7" s="7" t="n">
        <x:v>6</x:v>
      </x:c>
      <x:c r="B7" s="8" t="n">
        <x:v>46237</x:v>
      </x:c>
      <x:c r="C7" s="7" t="str">
        <x:v>03/08</x:v>
      </x:c>
      <x:c r="D7" s="9" t="n">
        <x:v>551384.44</x:v>
      </x:c>
      <x:c r="E7" s="7" t="str">
        <x:v>Kumho</x:v>
      </x:c>
      <x:c r="F7" s="7" t="str">
        <x:v>Kumho</x:v>
      </x:c>
      <x:c r="G7" s="7" t="str">
        <x:v>Auto / Camioneta</x:v>
      </x:c>
      <x:c r="H7" s="7" t="str">
        <x:v>215/50 r17</x:v>
      </x:c>
      <x:c r="I7" s="7" t="str">
        <x:v>215/50 R17</x:v>
      </x:c>
      <x:c r="J7" s="7" t="n">
        <x:v>2</x:v>
      </x:c>
      <x:c r="K7" s="7" t="str">
        <x:v>Solo neumáticos</x:v>
      </x:c>
      <x:c r="L7" s="7" t="str"/>
      <x:c r="M7" s="7" t="n">
        <x:v>0</x:v>
      </x:c>
      <x:c r="N7" s="7" t="n">
        <x:v>0</x:v>
      </x:c>
      <x:c r="O7" s="7" t="n">
        <x:v>0</x:v>
      </x:c>
      <x:c r="P7" s="7" t="str">
        <x:v>CDS</x:v>
      </x:c>
      <x:c r="Q7" s="7" t="str">
        <x:v>Sin promo</x:v>
      </x:c>
      <x:c r="R7" s="7" t="str">
        <x:v>No</x:v>
      </x:c>
      <x:c r="S7" s="7" t="str">
        <x:v>12 cuotas</x:v>
      </x:c>
      <x:c r="T7" s="7" t="str"/>
    </x:row>
    <x:row r="8">
      <x:c r="A8" s="7" t="n">
        <x:v>7</x:v>
      </x:c>
      <x:c r="B8" s="8" t="n">
        <x:v>46237</x:v>
      </x:c>
      <x:c r="C8" s="7" t="str">
        <x:v>03/08</x:v>
      </x:c>
      <x:c r="D8" s="9" t="n">
        <x:v>477650</x:v>
      </x:c>
      <x:c r="E8" s="7" t="str">
        <x:v>BFGoodrich ON</x:v>
      </x:c>
      <x:c r="F8" s="7" t="str">
        <x:v>BFGoodrich</x:v>
      </x:c>
      <x:c r="G8" s="7" t="str">
        <x:v>Auto / Camioneta</x:v>
      </x:c>
      <x:c r="H8" s="7" t="str">
        <x:v>205/60 r16</x:v>
      </x:c>
      <x:c r="I8" s="7" t="str">
        <x:v>205/60 R16</x:v>
      </x:c>
      <x:c r="J8" s="7" t="n">
        <x:v>2</x:v>
      </x:c>
      <x:c r="K8" s="7" t="str">
        <x:v>Solo neumáticos</x:v>
      </x:c>
      <x:c r="L8" s="7" t="str"/>
      <x:c r="M8" s="7" t="n">
        <x:v>0</x:v>
      </x:c>
      <x:c r="N8" s="7" t="n">
        <x:v>0</x:v>
      </x:c>
      <x:c r="O8" s="7" t="n">
        <x:v>0</x:v>
      </x:c>
      <x:c r="P8" s="7" t="str">
        <x:v>Retiro en sucursal</x:v>
      </x:c>
      <x:c r="Q8" s="7" t="str">
        <x:v>Sin promo</x:v>
      </x:c>
      <x:c r="R8" s="7" t="str">
        <x:v>No</x:v>
      </x:c>
      <x:c r="S8" s="7" t="str">
        <x:v>12 cuotas</x:v>
      </x:c>
      <x:c r="T8" s="7" t="str"/>
    </x:row>
    <x:row r="9">
      <x:c r="A9" s="7" t="n">
        <x:v>8</x:v>
      </x:c>
      <x:c r="B9" s="8" t="n">
        <x:v>46237</x:v>
      </x:c>
      <x:c r="C9" s="7" t="str">
        <x:v>03/08</x:v>
      </x:c>
      <x:c r="D9" s="9" t="n">
        <x:v>305922</x:v>
      </x:c>
      <x:c r="E9" s="7" t="str">
        <x:v>Kumho</x:v>
      </x:c>
      <x:c r="F9" s="7" t="str">
        <x:v>Kumho</x:v>
      </x:c>
      <x:c r="G9" s="7" t="str">
        <x:v>Auto / Camioneta</x:v>
      </x:c>
      <x:c r="H9" s="7" t="str">
        <x:v>205/55 r16</x:v>
      </x:c>
      <x:c r="I9" s="7" t="str">
        <x:v>205/55 R16</x:v>
      </x:c>
      <x:c r="J9" s="7" t="n">
        <x:v>2</x:v>
      </x:c>
      <x:c r="K9" s="7" t="str">
        <x:v>Solo neumáticos</x:v>
      </x:c>
      <x:c r="L9" s="7" t="str"/>
      <x:c r="M9" s="7" t="n">
        <x:v>0</x:v>
      </x:c>
      <x:c r="N9" s="7" t="n">
        <x:v>0</x:v>
      </x:c>
      <x:c r="O9" s="7" t="n">
        <x:v>0</x:v>
      </x:c>
      <x:c r="P9" s="7" t="str">
        <x:v>Retiro en sucursal</x:v>
      </x:c>
      <x:c r="Q9" s="7" t="str">
        <x:v>Sin promo</x:v>
      </x:c>
      <x:c r="R9" s="7" t="str">
        <x:v>No</x:v>
      </x:c>
      <x:c r="S9" s="7" t="str">
        <x:v>12 cuotas</x:v>
      </x:c>
      <x:c r="T9" s="7" t="str"/>
    </x:row>
    <x:row r="10">
      <x:c r="A10" s="7" t="n">
        <x:v>9</x:v>
      </x:c>
      <x:c r="B10" s="8" t="n">
        <x:v>46237</x:v>
      </x:c>
      <x:c r="C10" s="7" t="str">
        <x:v>03/08</x:v>
      </x:c>
      <x:c r="D10" s="9" t="n">
        <x:v>330394.5</x:v>
      </x:c>
      <x:c r="E10" s="7" t="str">
        <x:v>Michelin Moto</x:v>
      </x:c>
      <x:c r="F10" s="7" t="str">
        <x:v>Michelin</x:v>
      </x:c>
      <x:c r="G10" s="7" t="str">
        <x:v>Moto</x:v>
      </x:c>
      <x:c r="H10" s="7" t="str">
        <x:v>120/70 r19</x:v>
      </x:c>
      <x:c r="I10" s="7" t="str">
        <x:v>120/70 R19</x:v>
      </x:c>
      <x:c r="J10" s="7" t="n">
        <x:v>1</x:v>
      </x:c>
      <x:c r="K10" s="7" t="str">
        <x:v>Solo neumáticos</x:v>
      </x:c>
      <x:c r="L10" s="7" t="str"/>
      <x:c r="M10" s="7" t="n">
        <x:v>0</x:v>
      </x:c>
      <x:c r="N10" s="7" t="n">
        <x:v>0</x:v>
      </x:c>
      <x:c r="O10" s="7" t="n">
        <x:v>0</x:v>
      </x:c>
      <x:c r="P10" s="7" t="str">
        <x:v>Flota Propia</x:v>
      </x:c>
      <x:c r="Q10" s="7" t="str">
        <x:v>25% off</x:v>
      </x:c>
      <x:c r="R10" s="7" t="str">
        <x:v>Sí</x:v>
      </x:c>
      <x:c r="S10" s="7" t="str">
        <x:v>3 cuotas</x:v>
      </x:c>
      <x:c r="T10" s="7" t="str"/>
    </x:row>
    <x:row r="11">
      <x:c r="A11" s="7" t="n">
        <x:v>10</x:v>
      </x:c>
      <x:c r="B11" s="8" t="n">
        <x:v>46237</x:v>
      </x:c>
      <x:c r="C11" s="7" t="str">
        <x:v>03/08</x:v>
      </x:c>
      <x:c r="D11" s="9" t="n">
        <x:v>675609.29</x:v>
      </x:c>
      <x:c r="E11" s="7" t="str">
        <x:v>Michelin Moto</x:v>
      </x:c>
      <x:c r="F11" s="7" t="str">
        <x:v>Michelin</x:v>
      </x:c>
      <x:c r="G11" s="7" t="str">
        <x:v>Moto</x:v>
      </x:c>
      <x:c r="H11" s="7" t="str">
        <x:v>170/60 r17 + 120/70 r19</x:v>
      </x:c>
      <x:c r="I11" s="7" t="str">
        <x:v>170/60 R17 + 120/70 R19</x:v>
      </x:c>
      <x:c r="J11" s="7" t="n">
        <x:v>2</x:v>
      </x:c>
      <x:c r="K11" s="7" t="str">
        <x:v>Solo neumáticos</x:v>
      </x:c>
      <x:c r="L11" s="7" t="str"/>
      <x:c r="M11" s="7" t="n">
        <x:v>0</x:v>
      </x:c>
      <x:c r="N11" s="7" t="n">
        <x:v>0</x:v>
      </x:c>
      <x:c r="O11" s="7" t="n">
        <x:v>0</x:v>
      </x:c>
      <x:c r="P11" s="7" t="str">
        <x:v>CDS</x:v>
      </x:c>
      <x:c r="Q11" s="7" t="str">
        <x:v>25% off</x:v>
      </x:c>
      <x:c r="R11" s="7" t="str">
        <x:v>Sí</x:v>
      </x:c>
      <x:c r="S11" s="7" t="str">
        <x:v>3 cuotas</x:v>
      </x:c>
      <x:c r="T11" s="7" t="str"/>
    </x:row>
    <x:row r="12">
      <x:c r="A12" s="7" t="n">
        <x:v>11</x:v>
      </x:c>
      <x:c r="B12" s="8" t="n">
        <x:v>46238</x:v>
      </x:c>
      <x:c r="C12" s="7" t="str">
        <x:v>04/08</x:v>
      </x:c>
      <x:c r="D12" s="9" t="n">
        <x:v>1412278.73</x:v>
      </x:c>
      <x:c r="E12" s="7" t="str">
        <x:v>Nexen</x:v>
      </x:c>
      <x:c r="F12" s="7" t="str">
        <x:v>Nexen</x:v>
      </x:c>
      <x:c r="G12" s="7" t="str">
        <x:v>Auto / Camioneta</x:v>
      </x:c>
      <x:c r="H12" s="7" t="str">
        <x:v>225/45 r18</x:v>
      </x:c>
      <x:c r="I12" s="7" t="str">
        <x:v>225/45 R18</x:v>
      </x:c>
      <x:c r="J12" s="7" t="n">
        <x:v>4</x:v>
      </x:c>
      <x:c r="K12" s="7" t="str">
        <x:v>Solo neumáticos</x:v>
      </x:c>
      <x:c r="L12" s="7" t="str"/>
      <x:c r="M12" s="7" t="n">
        <x:v>0</x:v>
      </x:c>
      <x:c r="N12" s="7" t="n">
        <x:v>0</x:v>
      </x:c>
      <x:c r="O12" s="7" t="n">
        <x:v>0</x:v>
      </x:c>
      <x:c r="P12" s="7" t="str">
        <x:v>CDS</x:v>
      </x:c>
      <x:c r="Q12" s="7" t="str">
        <x:v>Sin promo</x:v>
      </x:c>
      <x:c r="R12" s="7" t="str">
        <x:v>No</x:v>
      </x:c>
      <x:c r="S12" s="7" t="str">
        <x:v>6 cuotas</x:v>
      </x:c>
      <x:c r="T12" s="7" t="str"/>
    </x:row>
    <x:row r="13">
      <x:c r="A13" s="7" t="n">
        <x:v>12</x:v>
      </x:c>
      <x:c r="B13" s="8" t="n">
        <x:v>46238</x:v>
      </x:c>
      <x:c r="C13" s="7" t="str">
        <x:v>04/08</x:v>
      </x:c>
      <x:c r="D13" s="9" t="n">
        <x:v>988162</x:v>
      </x:c>
      <x:c r="E13" s="7" t="str">
        <x:v>Michelin</x:v>
      </x:c>
      <x:c r="F13" s="7" t="str">
        <x:v>Michelin</x:v>
      </x:c>
      <x:c r="G13" s="7" t="str">
        <x:v>Auto / Camioneta</x:v>
      </x:c>
      <x:c r="H13" s="7" t="str">
        <x:v>225/65 r16c</x:v>
      </x:c>
      <x:c r="I13" s="7" t="str">
        <x:v>225/65 R16c</x:v>
      </x:c>
      <x:c r="J13" s="7" t="n">
        <x:v>2</x:v>
      </x:c>
      <x:c r="K13" s="7" t="str">
        <x:v>Solo neumáticos</x:v>
      </x:c>
      <x:c r="L13" s="7" t="str"/>
      <x:c r="M13" s="7" t="n">
        <x:v>0</x:v>
      </x:c>
      <x:c r="N13" s="7" t="n">
        <x:v>0</x:v>
      </x:c>
      <x:c r="O13" s="7" t="n">
        <x:v>0</x:v>
      </x:c>
      <x:c r="P13" s="7" t="str">
        <x:v>Retiro en sucursal</x:v>
      </x:c>
      <x:c r="Q13" s="7" t="str">
        <x:v>Sin promo</x:v>
      </x:c>
      <x:c r="R13" s="7" t="str">
        <x:v>No</x:v>
      </x:c>
      <x:c r="S13" s="7" t="str">
        <x:v>12 cuotas</x:v>
      </x:c>
      <x:c r="T13" s="7" t="str"/>
    </x:row>
    <x:row r="14">
      <x:c r="A14" s="7" t="n">
        <x:v>13</x:v>
      </x:c>
      <x:c r="B14" s="8" t="n">
        <x:v>46238</x:v>
      </x:c>
      <x:c r="C14" s="7" t="str">
        <x:v>04/08</x:v>
      </x:c>
      <x:c r="D14" s="9" t="n">
        <x:v>506357.62</x:v>
      </x:c>
      <x:c r="E14" s="7" t="str">
        <x:v>Nexen</x:v>
      </x:c>
      <x:c r="F14" s="7" t="str">
        <x:v>Nexen</x:v>
      </x:c>
      <x:c r="G14" s="7" t="str">
        <x:v>Auto / Camioneta</x:v>
      </x:c>
      <x:c r="H14" s="7" t="str">
        <x:v>215/65 r16</x:v>
      </x:c>
      <x:c r="I14" s="7" t="str">
        <x:v>215/65 R16</x:v>
      </x:c>
      <x:c r="J14" s="7" t="n">
        <x:v>2</x:v>
      </x:c>
      <x:c r="K14" s="7" t="str">
        <x:v>Solo neumáticos</x:v>
      </x:c>
      <x:c r="L14" s="7" t="str"/>
      <x:c r="M14" s="7" t="n">
        <x:v>0</x:v>
      </x:c>
      <x:c r="N14" s="7" t="n">
        <x:v>0</x:v>
      </x:c>
      <x:c r="O14" s="7" t="n">
        <x:v>0</x:v>
      </x:c>
      <x:c r="P14" s="7" t="str">
        <x:v>CDS</x:v>
      </x:c>
      <x:c r="Q14" s="7" t="str">
        <x:v>Sin promo</x:v>
      </x:c>
      <x:c r="R14" s="7" t="str">
        <x:v>No</x:v>
      </x:c>
      <x:c r="S14" s="7" t="str">
        <x:v>12 cuotas</x:v>
      </x:c>
      <x:c r="T14" s="7" t="str"/>
    </x:row>
    <x:row r="15">
      <x:c r="A15" s="7" t="n">
        <x:v>14</x:v>
      </x:c>
      <x:c r="B15" s="8" t="n">
        <x:v>46238</x:v>
      </x:c>
      <x:c r="C15" s="7" t="str">
        <x:v>04/08</x:v>
      </x:c>
      <x:c r="D15" s="9" t="n">
        <x:v>960000</x:v>
      </x:c>
      <x:c r="E15" s="7" t="str">
        <x:v>Continental</x:v>
      </x:c>
      <x:c r="F15" s="7" t="str">
        <x:v>Continental</x:v>
      </x:c>
      <x:c r="G15" s="7" t="str">
        <x:v>Auto / Camioneta</x:v>
      </x:c>
      <x:c r="H15" s="7" t="str">
        <x:v>195/55 r16</x:v>
      </x:c>
      <x:c r="I15" s="7" t="str">
        <x:v>195/55 R16</x:v>
      </x:c>
      <x:c r="J15" s="7" t="n">
        <x:v>4</x:v>
      </x:c>
      <x:c r="K15" s="7" t="str">
        <x:v>Solo neumáticos</x:v>
      </x:c>
      <x:c r="L15" s="7" t="str"/>
      <x:c r="M15" s="7" t="n">
        <x:v>0</x:v>
      </x:c>
      <x:c r="N15" s="7" t="n">
        <x:v>0</x:v>
      </x:c>
      <x:c r="O15" s="7" t="n">
        <x:v>0</x:v>
      </x:c>
      <x:c r="P15" s="7" t="str">
        <x:v>Retiro en sucursal</x:v>
      </x:c>
      <x:c r="Q15" s="7" t="str">
        <x:v>Sin promo</x:v>
      </x:c>
      <x:c r="R15" s="7" t="str">
        <x:v>No</x:v>
      </x:c>
      <x:c r="S15" s="7" t="str">
        <x:v>6 cuotas</x:v>
      </x:c>
      <x:c r="T15" s="7" t="str"/>
    </x:row>
    <x:row r="16">
      <x:c r="A16" s="7" t="n">
        <x:v>15</x:v>
      </x:c>
      <x:c r="B16" s="8" t="n">
        <x:v>46239</x:v>
      </x:c>
      <x:c r="C16" s="7" t="str">
        <x:v>05/08</x:v>
      </x:c>
      <x:c r="D16" s="9" t="n">
        <x:v>559566</x:v>
      </x:c>
      <x:c r="E16" s="7" t="str">
        <x:v>Yokohama</x:v>
      </x:c>
      <x:c r="F16" s="7" t="str">
        <x:v>Yokohama</x:v>
      </x:c>
      <x:c r="G16" s="7" t="str">
        <x:v>Auto / Camioneta</x:v>
      </x:c>
      <x:c r="H16" s="7" t="str">
        <x:v>185/60 r15</x:v>
      </x:c>
      <x:c r="I16" s="7" t="str">
        <x:v>185/60 R15</x:v>
      </x:c>
      <x:c r="J16" s="7" t="n">
        <x:v>4</x:v>
      </x:c>
      <x:c r="K16" s="7" t="str">
        <x:v>Solo neumáticos</x:v>
      </x:c>
      <x:c r="L16" s="7" t="str"/>
      <x:c r="M16" s="7" t="n">
        <x:v>0</x:v>
      </x:c>
      <x:c r="N16" s="7" t="n">
        <x:v>0</x:v>
      </x:c>
      <x:c r="O16" s="7" t="n">
        <x:v>0</x:v>
      </x:c>
      <x:c r="P16" s="7" t="str">
        <x:v>Retiro en sucursal</x:v>
      </x:c>
      <x:c r="Q16" s="7" t="str">
        <x:v>4x3</x:v>
      </x:c>
      <x:c r="R16" s="7" t="str">
        <x:v>Sí</x:v>
      </x:c>
      <x:c r="S16" s="7" t="str">
        <x:v>6 cuotas</x:v>
      </x:c>
      <x:c r="T16" s="7" t="str"/>
    </x:row>
    <x:row r="17">
      <x:c r="A17" s="7" t="n">
        <x:v>16</x:v>
      </x:c>
      <x:c r="B17" s="8" t="n">
        <x:v>46239</x:v>
      </x:c>
      <x:c r="C17" s="7" t="str">
        <x:v>05/08</x:v>
      </x:c>
      <x:c r="D17" s="9" t="n">
        <x:v>700991.35</x:v>
      </x:c>
      <x:c r="E17" s="7" t="str">
        <x:v>Michelin</x:v>
      </x:c>
      <x:c r="F17" s="7" t="str">
        <x:v>Michelin</x:v>
      </x:c>
      <x:c r="G17" s="7" t="str">
        <x:v>Auto / Camioneta</x:v>
      </x:c>
      <x:c r="H17" s="7" t="str">
        <x:v>205/55 r17</x:v>
      </x:c>
      <x:c r="I17" s="7" t="str">
        <x:v>205/55 R17</x:v>
      </x:c>
      <x:c r="J17" s="7" t="n">
        <x:v>2</x:v>
      </x:c>
      <x:c r="K17" s="7" t="str">
        <x:v>Solo neumáticos</x:v>
      </x:c>
      <x:c r="L17" s="7" t="str"/>
      <x:c r="M17" s="7" t="n">
        <x:v>0</x:v>
      </x:c>
      <x:c r="N17" s="7" t="n">
        <x:v>0</x:v>
      </x:c>
      <x:c r="O17" s="7" t="n">
        <x:v>0</x:v>
      </x:c>
      <x:c r="P17" s="7" t="str">
        <x:v>CDS</x:v>
      </x:c>
      <x:c r="Q17" s="7" t="str">
        <x:v>Sin promo</x:v>
      </x:c>
      <x:c r="R17" s="7" t="str">
        <x:v>No</x:v>
      </x:c>
      <x:c r="S17" s="7" t="str">
        <x:v>12 cuotas</x:v>
      </x:c>
      <x:c r="T17" s="7" t="str"/>
    </x:row>
    <x:row r="18">
      <x:c r="A18" s="7" t="n">
        <x:v>17</x:v>
      </x:c>
      <x:c r="B18" s="8" t="n">
        <x:v>46240</x:v>
      </x:c>
      <x:c r="C18" s="7" t="str">
        <x:v>06/08</x:v>
      </x:c>
      <x:c r="D18" s="9" t="n">
        <x:v>138975</x:v>
      </x:c>
      <x:c r="E18" s="7" t="str">
        <x:v>Continental</x:v>
      </x:c>
      <x:c r="F18" s="7" t="str">
        <x:v>Continental</x:v>
      </x:c>
      <x:c r="G18" s="7" t="str">
        <x:v>Auto / Camioneta</x:v>
      </x:c>
      <x:c r="H18" s="7" t="str">
        <x:v>165/70 R14</x:v>
      </x:c>
      <x:c r="I18" s="7" t="str">
        <x:v>165/70 R14</x:v>
      </x:c>
      <x:c r="J18" s="7" t="n">
        <x:v>1</x:v>
      </x:c>
      <x:c r="K18" s="7" t="str">
        <x:v>Solo neumáticos</x:v>
      </x:c>
      <x:c r="L18" s="7" t="str"/>
      <x:c r="M18" s="7" t="n">
        <x:v>0</x:v>
      </x:c>
      <x:c r="N18" s="7" t="n">
        <x:v>0</x:v>
      </x:c>
      <x:c r="O18" s="7" t="n">
        <x:v>0</x:v>
      </x:c>
      <x:c r="P18" s="7" t="str">
        <x:v>Flota Propia</x:v>
      </x:c>
      <x:c r="Q18" s="7" t="str">
        <x:v>15% off</x:v>
      </x:c>
      <x:c r="R18" s="7" t="str">
        <x:v>Sí</x:v>
      </x:c>
      <x:c r="S18" s="7" t="str">
        <x:v>1 pago</x:v>
      </x:c>
      <x:c r="T18" s="7" t="str"/>
    </x:row>
    <x:row r="19">
      <x:c r="A19" s="7" t="n">
        <x:v>18</x:v>
      </x:c>
      <x:c r="B19" s="8" t="n">
        <x:v>46240</x:v>
      </x:c>
      <x:c r="C19" s="7" t="str">
        <x:v>06/08</x:v>
      </x:c>
      <x:c r="D19" s="9" t="n">
        <x:v>151742.27</x:v>
      </x:c>
      <x:c r="E19" s="7" t="str">
        <x:v>Master Steel</x:v>
      </x:c>
      <x:c r="F19" s="7" t="str">
        <x:v>Master Steel</x:v>
      </x:c>
      <x:c r="G19" s="7" t="str">
        <x:v>Auto / Camioneta</x:v>
      </x:c>
      <x:c r="H19" s="7" t="str">
        <x:v>205/55 r16</x:v>
      </x:c>
      <x:c r="I19" s="7" t="str">
        <x:v>205/55 R16</x:v>
      </x:c>
      <x:c r="J19" s="7" t="n">
        <x:v>1</x:v>
      </x:c>
      <x:c r="K19" s="7" t="str">
        <x:v>Solo neumáticos</x:v>
      </x:c>
      <x:c r="L19" s="7" t="str"/>
      <x:c r="M19" s="7" t="n">
        <x:v>0</x:v>
      </x:c>
      <x:c r="N19" s="7" t="n">
        <x:v>0</x:v>
      </x:c>
      <x:c r="O19" s="7" t="n">
        <x:v>0</x:v>
      </x:c>
      <x:c r="P19" s="7" t="str">
        <x:v>CDS</x:v>
      </x:c>
      <x:c r="Q19" s="7" t="str">
        <x:v>Sin promo</x:v>
      </x:c>
      <x:c r="R19" s="7" t="str">
        <x:v>No</x:v>
      </x:c>
      <x:c r="S19" s="7" t="str">
        <x:v>1 pago</x:v>
      </x:c>
      <x:c r="T19" s="7" t="str"/>
    </x:row>
  </x:sheetData>
  <x:conditionalFormatting sqref="K2:K19">
    <x:cfRule type="containsText" dxfId="0" priority="1" operator="containsText" text="servicios"/>
  </x:conditionalFormatting>
  <x:pageMargins left="0.7" right="0.7" top="0.75" bottom="0.75" header="0.3" footer="0.3"/>
  <x:tableParts count="1">
    <x:tablePart xmlns:r="http://schemas.openxmlformats.org/officeDocument/2006/relationships" r:id="R156d828cbbb84e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8" hidden="0" customWidth="1"/>
    <x:col min="5" max="5" width="28" hidden="0" customWidth="1"/>
    <x:col min="6" max="6" width="12" hidden="0" customWidth="1"/>
    <x:col min="7" max="7" width="32" hidden="0" customWidth="1"/>
    <x:col min="8" max="8" width="18" hidden="0" customWidth="1"/>
    <x:col min="9" max="9" width="22" hidden="0" customWidth="1"/>
    <x:col min="10" max="10" width="58" hidden="0" customWidth="1"/>
  </x:cols>
  <x:sheetData>
    <x:row r="1">
      <x:c r="A1" s="3" t="str">
        <x:v>ID operación</x:v>
      </x:c>
      <x:c r="B1" s="3" t="str">
        <x:v>Fecha</x:v>
      </x:c>
      <x:c r="C1" s="3" t="str">
        <x:v>Marca</x:v>
      </x:c>
      <x:c r="D1" s="3" t="str">
        <x:v>Segmento</x:v>
      </x:c>
      <x:c r="E1" s="3" t="str">
        <x:v>Medida</x:v>
      </x:c>
      <x:c r="F1" s="3" t="str">
        <x:v>Unidades</x:v>
      </x:c>
      <x:c r="G1" s="3" t="str">
        <x:v>Tipo de línea</x:v>
      </x:c>
      <x:c r="H1" s="3" t="str">
        <x:v>Importe operación</x:v>
      </x:c>
      <x:c r="I1" s="3" t="str">
        <x:v>Importe atribuible al producto</x:v>
      </x:c>
      <x:c r="J1" s="3" t="str">
        <x:v>Nota</x:v>
      </x:c>
    </x:row>
    <x:row r="2">
      <x:c r="A2" t="n">
        <x:v>1</x:v>
      </x:c>
      <x:c r="B2" s="5" t="n">
        <x:v>46234</x:v>
      </x:c>
      <x:c r="C2" t="str">
        <x:v>Yokohama</x:v>
      </x:c>
      <x:c r="D2" t="str">
        <x:v>Auto / Camioneta</x:v>
      </x:c>
      <x:c r="E2" t="str">
        <x:v>175/65 R14</x:v>
      </x:c>
      <x:c r="F2" t="n">
        <x:v>4</x:v>
      </x:c>
      <x:c r="G2" t="str">
        <x:v>Producto principal</x:v>
      </x:c>
      <x:c r="H2" s="6" t="n">
        <x:v>408561</x:v>
      </x:c>
      <x:c r="I2" s="6" t="n">
        <x:v>408561</x:v>
      </x:c>
      <x:c r="J2" t="str"/>
    </x:row>
    <x:row r="3">
      <x:c r="A3" t="n">
        <x:v>2</x:v>
      </x:c>
      <x:c r="B3" s="5" t="n">
        <x:v>46234</x:v>
      </x:c>
      <x:c r="C3" t="str">
        <x:v>Nexen</x:v>
      </x:c>
      <x:c r="D3" t="str">
        <x:v>Auto / Camioneta</x:v>
      </x:c>
      <x:c r="E3" t="str">
        <x:v>195/65 R15</x:v>
      </x:c>
      <x:c r="F3" t="n">
        <x:v>4</x:v>
      </x:c>
      <x:c r="G3" t="str">
        <x:v>Producto principal con servicios</x:v>
      </x:c>
      <x:c r="H3" s="6" t="n">
        <x:v>546624</x:v>
      </x:c>
      <x:c r="I3" s="6"/>
      <x:c r="J3" t="str">
        <x:v>El importe de la operación también incluye servicios.</x:v>
      </x:c>
    </x:row>
    <x:row r="4">
      <x:c r="A4" t="n">
        <x:v>3</x:v>
      </x:c>
      <x:c r="B4" s="5" t="n">
        <x:v>46235</x:v>
      </x:c>
      <x:c r="C4" t="str">
        <x:v>Kumho</x:v>
      </x:c>
      <x:c r="D4" t="str">
        <x:v>Auto / Camioneta</x:v>
      </x:c>
      <x:c r="E4" t="str">
        <x:v>225/60 R18</x:v>
      </x:c>
      <x:c r="F4" t="n">
        <x:v>1</x:v>
      </x:c>
      <x:c r="G4" t="str">
        <x:v>Producto principal</x:v>
      </x:c>
      <x:c r="H4" s="6" t="n">
        <x:v>464704.98</x:v>
      </x:c>
      <x:c r="I4" s="6" t="n">
        <x:v>464704.98</x:v>
      </x:c>
      <x:c r="J4" t="str"/>
    </x:row>
    <x:row r="5">
      <x:c r="A5" t="n">
        <x:v>4</x:v>
      </x:c>
      <x:c r="B5" s="5" t="n">
        <x:v>46235</x:v>
      </x:c>
      <x:c r="C5" t="str">
        <x:v>Yokohama</x:v>
      </x:c>
      <x:c r="D5" t="str">
        <x:v>Auto / Camioneta</x:v>
      </x:c>
      <x:c r="E5" t="str">
        <x:v>175/65 R14</x:v>
      </x:c>
      <x:c r="F5" t="n">
        <x:v>4</x:v>
      </x:c>
      <x:c r="G5" t="str">
        <x:v>Producto principal</x:v>
      </x:c>
      <x:c r="H5" s="6" t="n">
        <x:v>493521.56</x:v>
      </x:c>
      <x:c r="I5" s="6" t="n">
        <x:v>493521.56</x:v>
      </x:c>
      <x:c r="J5" t="str"/>
    </x:row>
    <x:row r="6">
      <x:c r="A6" t="n">
        <x:v>5</x:v>
      </x:c>
      <x:c r="B6" s="5" t="n">
        <x:v>46235</x:v>
      </x:c>
      <x:c r="C6" t="str">
        <x:v>Continental</x:v>
      </x:c>
      <x:c r="D6" t="str">
        <x:v>Auto / Camioneta</x:v>
      </x:c>
      <x:c r="E6" t="str">
        <x:v>195/65 R15</x:v>
      </x:c>
      <x:c r="F6" t="n">
        <x:v>1</x:v>
      </x:c>
      <x:c r="G6" t="str">
        <x:v>Producto principal</x:v>
      </x:c>
      <x:c r="H6" s="6" t="n">
        <x:v>213750</x:v>
      </x:c>
      <x:c r="I6" s="6" t="n">
        <x:v>213750</x:v>
      </x:c>
      <x:c r="J6" t="str"/>
    </x:row>
    <x:row r="7">
      <x:c r="A7" t="n">
        <x:v>6</x:v>
      </x:c>
      <x:c r="B7" s="5" t="n">
        <x:v>46237</x:v>
      </x:c>
      <x:c r="C7" t="str">
        <x:v>Kumho</x:v>
      </x:c>
      <x:c r="D7" t="str">
        <x:v>Auto / Camioneta</x:v>
      </x:c>
      <x:c r="E7" t="str">
        <x:v>215/50 R17</x:v>
      </x:c>
      <x:c r="F7" t="n">
        <x:v>2</x:v>
      </x:c>
      <x:c r="G7" t="str">
        <x:v>Producto principal</x:v>
      </x:c>
      <x:c r="H7" s="6" t="n">
        <x:v>551384.44</x:v>
      </x:c>
      <x:c r="I7" s="6" t="n">
        <x:v>551384.44</x:v>
      </x:c>
      <x:c r="J7" t="str"/>
    </x:row>
    <x:row r="8">
      <x:c r="A8" t="n">
        <x:v>7</x:v>
      </x:c>
      <x:c r="B8" s="5" t="n">
        <x:v>46237</x:v>
      </x:c>
      <x:c r="C8" t="str">
        <x:v>BFGoodrich</x:v>
      </x:c>
      <x:c r="D8" t="str">
        <x:v>Auto / Camioneta</x:v>
      </x:c>
      <x:c r="E8" t="str">
        <x:v>205/60 R16</x:v>
      </x:c>
      <x:c r="F8" t="n">
        <x:v>2</x:v>
      </x:c>
      <x:c r="G8" t="str">
        <x:v>Producto principal</x:v>
      </x:c>
      <x:c r="H8" s="6" t="n">
        <x:v>477650</x:v>
      </x:c>
      <x:c r="I8" s="6" t="n">
        <x:v>477650</x:v>
      </x:c>
      <x:c r="J8" t="str"/>
    </x:row>
    <x:row r="9">
      <x:c r="A9" t="n">
        <x:v>8</x:v>
      </x:c>
      <x:c r="B9" s="5" t="n">
        <x:v>46237</x:v>
      </x:c>
      <x:c r="C9" t="str">
        <x:v>Kumho</x:v>
      </x:c>
      <x:c r="D9" t="str">
        <x:v>Auto / Camioneta</x:v>
      </x:c>
      <x:c r="E9" t="str">
        <x:v>205/55 R16</x:v>
      </x:c>
      <x:c r="F9" t="n">
        <x:v>2</x:v>
      </x:c>
      <x:c r="G9" t="str">
        <x:v>Producto principal</x:v>
      </x:c>
      <x:c r="H9" s="6" t="n">
        <x:v>305922</x:v>
      </x:c>
      <x:c r="I9" s="6" t="n">
        <x:v>305922</x:v>
      </x:c>
      <x:c r="J9" t="str"/>
    </x:row>
    <x:row r="10">
      <x:c r="A10" t="n">
        <x:v>9</x:v>
      </x:c>
      <x:c r="B10" s="5" t="n">
        <x:v>46237</x:v>
      </x:c>
      <x:c r="C10" t="str">
        <x:v>Michelin</x:v>
      </x:c>
      <x:c r="D10" t="str">
        <x:v>Moto</x:v>
      </x:c>
      <x:c r="E10" t="str">
        <x:v>120/70 R19</x:v>
      </x:c>
      <x:c r="F10" t="n">
        <x:v>1</x:v>
      </x:c>
      <x:c r="G10" t="str">
        <x:v>Producto principal</x:v>
      </x:c>
      <x:c r="H10" s="6" t="n">
        <x:v>330394.5</x:v>
      </x:c>
      <x:c r="I10" s="6" t="n">
        <x:v>330394.5</x:v>
      </x:c>
      <x:c r="J10" t="str"/>
    </x:row>
    <x:row r="11">
      <x:c r="A11" t="n">
        <x:v>10</x:v>
      </x:c>
      <x:c r="B11" s="5" t="n">
        <x:v>46237</x:v>
      </x:c>
      <x:c r="C11" t="str">
        <x:v>Michelin</x:v>
      </x:c>
      <x:c r="D11" t="str">
        <x:v>Moto</x:v>
      </x:c>
      <x:c r="E11" t="str">
        <x:v>170/60 R17</x:v>
      </x:c>
      <x:c r="F11" t="n">
        <x:v>1</x:v>
      </x:c>
      <x:c r="G11" t="str">
        <x:v>Producto en operación combinada</x:v>
      </x:c>
      <x:c r="H11" s="6" t="n">
        <x:v>675609.29</x:v>
      </x:c>
      <x:c r="I11" s="6"/>
      <x:c r="J11" t="str">
        <x:v>La operación contiene más de una medida y el importe no está desagregado por producto.</x:v>
      </x:c>
    </x:row>
    <x:row r="12">
      <x:c r="A12" t="n">
        <x:v>10</x:v>
      </x:c>
      <x:c r="B12" s="5" t="n">
        <x:v>46237</x:v>
      </x:c>
      <x:c r="C12" t="str">
        <x:v>Michelin</x:v>
      </x:c>
      <x:c r="D12" t="str">
        <x:v>Moto</x:v>
      </x:c>
      <x:c r="E12" t="str">
        <x:v>120/70 R19</x:v>
      </x:c>
      <x:c r="F12" t="n">
        <x:v>1</x:v>
      </x:c>
      <x:c r="G12" t="str">
        <x:v>Producto en operación combinada</x:v>
      </x:c>
      <x:c r="H12" s="6" t="n">
        <x:v>675609.29</x:v>
      </x:c>
      <x:c r="I12" s="6"/>
      <x:c r="J12" t="str">
        <x:v>La operación contiene más de una medida y el importe no está desagregado por producto.</x:v>
      </x:c>
    </x:row>
    <x:row r="13">
      <x:c r="A13" t="n">
        <x:v>11</x:v>
      </x:c>
      <x:c r="B13" s="5" t="n">
        <x:v>46238</x:v>
      </x:c>
      <x:c r="C13" t="str">
        <x:v>Nexen</x:v>
      </x:c>
      <x:c r="D13" t="str">
        <x:v>Auto / Camioneta</x:v>
      </x:c>
      <x:c r="E13" t="str">
        <x:v>225/45 R18</x:v>
      </x:c>
      <x:c r="F13" t="n">
        <x:v>4</x:v>
      </x:c>
      <x:c r="G13" t="str">
        <x:v>Producto principal</x:v>
      </x:c>
      <x:c r="H13" s="6" t="n">
        <x:v>1412278.73</x:v>
      </x:c>
      <x:c r="I13" s="6" t="n">
        <x:v>1412278.73</x:v>
      </x:c>
      <x:c r="J13" t="str"/>
    </x:row>
    <x:row r="14">
      <x:c r="A14" t="n">
        <x:v>12</x:v>
      </x:c>
      <x:c r="B14" s="5" t="n">
        <x:v>46238</x:v>
      </x:c>
      <x:c r="C14" t="str">
        <x:v>Michelin</x:v>
      </x:c>
      <x:c r="D14" t="str">
        <x:v>Auto / Camioneta</x:v>
      </x:c>
      <x:c r="E14" t="str">
        <x:v>225/65 R16c</x:v>
      </x:c>
      <x:c r="F14" t="n">
        <x:v>2</x:v>
      </x:c>
      <x:c r="G14" t="str">
        <x:v>Producto principal</x:v>
      </x:c>
      <x:c r="H14" s="6" t="n">
        <x:v>988162</x:v>
      </x:c>
      <x:c r="I14" s="6" t="n">
        <x:v>988162</x:v>
      </x:c>
      <x:c r="J14" t="str"/>
    </x:row>
    <x:row r="15">
      <x:c r="A15" t="n">
        <x:v>13</x:v>
      </x:c>
      <x:c r="B15" s="5" t="n">
        <x:v>46238</x:v>
      </x:c>
      <x:c r="C15" t="str">
        <x:v>Nexen</x:v>
      </x:c>
      <x:c r="D15" t="str">
        <x:v>Auto / Camioneta</x:v>
      </x:c>
      <x:c r="E15" t="str">
        <x:v>215/65 R16</x:v>
      </x:c>
      <x:c r="F15" t="n">
        <x:v>2</x:v>
      </x:c>
      <x:c r="G15" t="str">
        <x:v>Producto principal</x:v>
      </x:c>
      <x:c r="H15" s="6" t="n">
        <x:v>506357.62</x:v>
      </x:c>
      <x:c r="I15" s="6" t="n">
        <x:v>506357.62</x:v>
      </x:c>
      <x:c r="J15" t="str"/>
    </x:row>
    <x:row r="16">
      <x:c r="A16" t="n">
        <x:v>14</x:v>
      </x:c>
      <x:c r="B16" s="5" t="n">
        <x:v>46238</x:v>
      </x:c>
      <x:c r="C16" t="str">
        <x:v>Continental</x:v>
      </x:c>
      <x:c r="D16" t="str">
        <x:v>Auto / Camioneta</x:v>
      </x:c>
      <x:c r="E16" t="str">
        <x:v>195/55 R16</x:v>
      </x:c>
      <x:c r="F16" t="n">
        <x:v>4</x:v>
      </x:c>
      <x:c r="G16" t="str">
        <x:v>Producto principal</x:v>
      </x:c>
      <x:c r="H16" s="6" t="n">
        <x:v>960000</x:v>
      </x:c>
      <x:c r="I16" s="6" t="n">
        <x:v>960000</x:v>
      </x:c>
      <x:c r="J16" t="str"/>
    </x:row>
    <x:row r="17">
      <x:c r="A17" t="n">
        <x:v>15</x:v>
      </x:c>
      <x:c r="B17" s="5" t="n">
        <x:v>46239</x:v>
      </x:c>
      <x:c r="C17" t="str">
        <x:v>Yokohama</x:v>
      </x:c>
      <x:c r="D17" t="str">
        <x:v>Auto / Camioneta</x:v>
      </x:c>
      <x:c r="E17" t="str">
        <x:v>185/60 R15</x:v>
      </x:c>
      <x:c r="F17" t="n">
        <x:v>4</x:v>
      </x:c>
      <x:c r="G17" t="str">
        <x:v>Producto principal</x:v>
      </x:c>
      <x:c r="H17" s="6" t="n">
        <x:v>559566</x:v>
      </x:c>
      <x:c r="I17" s="6" t="n">
        <x:v>559566</x:v>
      </x:c>
      <x:c r="J17" t="str"/>
    </x:row>
    <x:row r="18">
      <x:c r="A18" t="n">
        <x:v>16</x:v>
      </x:c>
      <x:c r="B18" s="5" t="n">
        <x:v>46239</x:v>
      </x:c>
      <x:c r="C18" t="str">
        <x:v>Michelin</x:v>
      </x:c>
      <x:c r="D18" t="str">
        <x:v>Auto / Camioneta</x:v>
      </x:c>
      <x:c r="E18" t="str">
        <x:v>205/55 R17</x:v>
      </x:c>
      <x:c r="F18" t="n">
        <x:v>2</x:v>
      </x:c>
      <x:c r="G18" t="str">
        <x:v>Producto principal</x:v>
      </x:c>
      <x:c r="H18" s="6" t="n">
        <x:v>700991.35</x:v>
      </x:c>
      <x:c r="I18" s="6" t="n">
        <x:v>700991.35</x:v>
      </x:c>
      <x:c r="J18" t="str"/>
    </x:row>
    <x:row r="19">
      <x:c r="A19" t="n">
        <x:v>17</x:v>
      </x:c>
      <x:c r="B19" s="5" t="n">
        <x:v>46240</x:v>
      </x:c>
      <x:c r="C19" t="str">
        <x:v>Continental</x:v>
      </x:c>
      <x:c r="D19" t="str">
        <x:v>Auto / Camioneta</x:v>
      </x:c>
      <x:c r="E19" t="str">
        <x:v>165/70 R14</x:v>
      </x:c>
      <x:c r="F19" t="n">
        <x:v>1</x:v>
      </x:c>
      <x:c r="G19" t="str">
        <x:v>Producto principal</x:v>
      </x:c>
      <x:c r="H19" s="6" t="n">
        <x:v>138975</x:v>
      </x:c>
      <x:c r="I19" s="6" t="n">
        <x:v>138975</x:v>
      </x:c>
      <x:c r="J19" t="str"/>
    </x:row>
    <x:row r="20">
      <x:c r="A20" t="n">
        <x:v>18</x:v>
      </x:c>
      <x:c r="B20" s="5" t="n">
        <x:v>46240</x:v>
      </x:c>
      <x:c r="C20" t="str">
        <x:v>Master Steel</x:v>
      </x:c>
      <x:c r="D20" t="str">
        <x:v>Auto / Camioneta</x:v>
      </x:c>
      <x:c r="E20" t="str">
        <x:v>205/55 R16</x:v>
      </x:c>
      <x:c r="F20" t="n">
        <x:v>1</x:v>
      </x:c>
      <x:c r="G20" t="str">
        <x:v>Producto principal</x:v>
      </x:c>
      <x:c r="H20" s="6" t="n">
        <x:v>151742.27</x:v>
      </x:c>
      <x:c r="I20" s="6" t="n">
        <x:v>151742.27</x:v>
      </x:c>
      <x:c r="J20" t="str"/>
    </x:row>
  </x:sheetData>
  <x:pageMargins left="0.7" right="0.7" top="0.75" bottom="0.75" header="0.3" footer="0.3"/>
  <x:tableParts count="1">
    <x:tablePart xmlns:r="http://schemas.openxmlformats.org/officeDocument/2006/relationships" r:id="R4cc17f37479b456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4" hidden="0" customWidth="1"/>
    <x:col min="2" max="2" width="20" hidden="0" customWidth="1"/>
    <x:col min="3" max="3" width="12" hidden="0" customWidth="1"/>
    <x:col min="4" max="4" width="17" hidden="0" customWidth="1"/>
    <x:col min="5" max="5" width="10" hidden="0" customWidth="1"/>
    <x:col min="6" max="6" width="14" hidden="0" customWidth="1"/>
    <x:col min="7" max="7" width="10" hidden="0" customWidth="1"/>
    <x:col min="8" max="8" width="12" hidden="0" customWidth="1"/>
    <x:col min="9" max="9" width="10" hidden="0" customWidth="1"/>
    <x:col min="10" max="10" width="18" hidden="0" customWidth="1"/>
  </x:cols>
  <x:sheetData>
    <x:row r="1">
      <x:c r="A1" s="3" t="str">
        <x:v>Término</x:v>
      </x:c>
      <x:c r="B1" s="3" t="str">
        <x:v>Tipo de término</x:v>
      </x:c>
      <x:c r="C1" s="3" t="str">
        <x:v>Búsquedas</x:v>
      </x:c>
      <x:c r="D1" s="3" t="str">
        <x:v>Búsquedas únicas</x:v>
      </x:c>
      <x:c r="E1" s="3" t="str">
        <x:v>Clicks</x:v>
      </x:c>
      <x:c r="F1" s="3" t="str">
        <x:v>Clicks únicos</x:v>
      </x:c>
      <x:c r="G1" s="3" t="str">
        <x:v>CTR</x:v>
      </x:c>
      <x:c r="H1" s="3" t="str">
        <x:v>Conversión</x:v>
      </x:c>
      <x:c r="I1" s="3" t="str">
        <x:v>Órdenes</x:v>
      </x:c>
      <x:c r="J1" s="3" t="str">
        <x:v>Ventas atribuidas</x:v>
      </x:c>
    </x:row>
    <x:row r="2">
      <x:c r="A2" t="str">
        <x:v>Auto</x:v>
      </x:c>
      <x:c r="B2" t="str">
        <x:v>Categoría</x:v>
      </x:c>
      <x:c r="C2" t="n">
        <x:v>447</x:v>
      </x:c>
      <x:c r="D2" t="n">
        <x:v>307</x:v>
      </x:c>
      <x:c r="E2" t="n">
        <x:v>35</x:v>
      </x:c>
      <x:c r="F2" t="n">
        <x:v>23</x:v>
      </x:c>
      <x:c r="G2" s="10" t="n">
        <x:v>0.0783</x:v>
      </x:c>
      <x:c r="H2" s="10" t="n">
        <x:v>0</x:v>
      </x:c>
      <x:c r="I2" t="n">
        <x:v>0</x:v>
      </x:c>
      <x:c r="J2" s="6" t="n">
        <x:v>0</x:v>
      </x:c>
    </x:row>
    <x:row r="3">
      <x:c r="A3" t="str">
        <x:v>175-70-r13-fate-prestiva-82-t</x:v>
      </x:c>
      <x:c r="B3" t="str">
        <x:v>Producto / URL</x:v>
      </x:c>
      <x:c r="C3" t="n">
        <x:v>431</x:v>
      </x:c>
      <x:c r="D3" t="n">
        <x:v>231</x:v>
      </x:c>
      <x:c r="E3" t="n">
        <x:v>0</x:v>
      </x:c>
      <x:c r="F3" t="n">
        <x:v>0</x:v>
      </x:c>
      <x:c r="G3" s="10" t="n">
        <x:v>0</x:v>
      </x:c>
      <x:c r="H3" s="10" t="n">
        <x:v>0</x:v>
      </x:c>
      <x:c r="I3" t="n">
        <x:v>0</x:v>
      </x:c>
      <x:c r="J3" s="6" t="n">
        <x:v>0</x:v>
      </x:c>
    </x:row>
    <x:row r="4">
      <x:c r="A4" t="str">
        <x:v>neumaticos</x:v>
      </x:c>
      <x:c r="B4" t="str">
        <x:v>Categoría</x:v>
      </x:c>
      <x:c r="C4" t="n">
        <x:v>304</x:v>
      </x:c>
      <x:c r="D4" t="n">
        <x:v>153</x:v>
      </x:c>
      <x:c r="E4" t="n">
        <x:v>35</x:v>
      </x:c>
      <x:c r="F4" t="n">
        <x:v>19</x:v>
      </x:c>
      <x:c r="G4" s="10" t="n">
        <x:v>0.1151</x:v>
      </x:c>
      <x:c r="H4" s="10" t="n">
        <x:v>0</x:v>
      </x:c>
      <x:c r="I4" t="n">
        <x:v>0</x:v>
      </x:c>
      <x:c r="J4" s="6" t="n">
        <x:v>0</x:v>
      </x:c>
    </x:row>
    <x:row r="5">
      <x:c r="A5" t="str">
        <x:v>kit x2</x:v>
      </x:c>
      <x:c r="B5" t="str">
        <x:v>Categoría</x:v>
      </x:c>
      <x:c r="C5" t="n">
        <x:v>272</x:v>
      </x:c>
      <x:c r="D5" t="n">
        <x:v>210</x:v>
      </x:c>
      <x:c r="E5" t="n">
        <x:v>35</x:v>
      </x:c>
      <x:c r="F5" t="n">
        <x:v>19</x:v>
      </x:c>
      <x:c r="G5" s="10" t="n">
        <x:v>0.12869999999999998</x:v>
      </x:c>
      <x:c r="H5" s="10" t="n">
        <x:v>0</x:v>
      </x:c>
      <x:c r="I5" t="n">
        <x:v>0</x:v>
      </x:c>
      <x:c r="J5" s="6" t="n">
        <x:v>0</x:v>
      </x:c>
    </x:row>
    <x:row r="6">
      <x:c r="A6" t="str">
        <x:v>205-45-r17-michelin-pilot-sport-5-88-y</x:v>
      </x:c>
      <x:c r="B6" t="str">
        <x:v>Producto / URL</x:v>
      </x:c>
      <x:c r="C6" t="n">
        <x:v>188</x:v>
      </x:c>
      <x:c r="D6" t="n">
        <x:v>94</x:v>
      </x:c>
      <x:c r="E6" t="n">
        <x:v>0</x:v>
      </x:c>
      <x:c r="F6" t="n">
        <x:v>0</x:v>
      </x:c>
      <x:c r="G6" s="10" t="n">
        <x:v>0</x:v>
      </x:c>
      <x:c r="H6" s="10" t="n">
        <x:v>0</x:v>
      </x:c>
      <x:c r="I6" t="n">
        <x:v>0</x:v>
      </x:c>
      <x:c r="J6" s="6" t="n">
        <x:v>0</x:v>
      </x:c>
    </x:row>
    <x:row r="7">
      <x:c r="A7" t="str">
        <x:v>205-55-r16-michelin-primacy-3-run-flat-91v</x:v>
      </x:c>
      <x:c r="B7" t="str">
        <x:v>Producto / URL</x:v>
      </x:c>
      <x:c r="C7" t="n">
        <x:v>154</x:v>
      </x:c>
      <x:c r="D7" t="n">
        <x:v>117</x:v>
      </x:c>
      <x:c r="E7" t="n">
        <x:v>0</x:v>
      </x:c>
      <x:c r="F7" t="n">
        <x:v>0</x:v>
      </x:c>
      <x:c r="G7" s="10" t="n">
        <x:v>0</x:v>
      </x:c>
      <x:c r="H7" s="10" t="n">
        <x:v>0</x:v>
      </x:c>
      <x:c r="I7" t="n">
        <x:v>0</x:v>
      </x:c>
      <x:c r="J7" s="6" t="n">
        <x:v>0</x:v>
      </x:c>
    </x:row>
    <x:row r="8">
      <x:c r="A8" t="str">
        <x:v>185-65-r15-michelin-energy-xm2plus-88h</x:v>
      </x:c>
      <x:c r="B8" t="str">
        <x:v>Producto / URL</x:v>
      </x:c>
      <x:c r="C8" t="n">
        <x:v>143</x:v>
      </x:c>
      <x:c r="D8" t="n">
        <x:v>106</x:v>
      </x:c>
      <x:c r="E8" t="n">
        <x:v>0</x:v>
      </x:c>
      <x:c r="F8" t="n">
        <x:v>0</x:v>
      </x:c>
      <x:c r="G8" s="10" t="n">
        <x:v>0</x:v>
      </x:c>
      <x:c r="H8" s="10" t="n">
        <x:v>0</x:v>
      </x:c>
      <x:c r="I8" t="n">
        <x:v>0</x:v>
      </x:c>
      <x:c r="J8" s="6" t="n">
        <x:v>0</x:v>
      </x:c>
    </x:row>
    <x:row r="9">
      <x:c r="A9" t="str">
        <x:v>Motos</x:v>
      </x:c>
      <x:c r="B9" t="str">
        <x:v>Categoría</x:v>
      </x:c>
      <x:c r="C9" t="n">
        <x:v>122</x:v>
      </x:c>
      <x:c r="D9" t="n">
        <x:v>60</x:v>
      </x:c>
      <x:c r="E9" t="n">
        <x:v>7</x:v>
      </x:c>
      <x:c r="F9" t="n">
        <x:v>7</x:v>
      </x:c>
      <x:c r="G9" s="10" t="n">
        <x:v>0.0574</x:v>
      </x:c>
      <x:c r="H9" s="10" t="n">
        <x:v>0</x:v>
      </x:c>
      <x:c r="I9" t="n">
        <x:v>0</x:v>
      </x:c>
      <x:c r="J9" s="6" t="n">
        <x:v>0</x:v>
      </x:c>
    </x:row>
    <x:row r="10">
      <x:c r="A10" t="str">
        <x:v>motos</x:v>
      </x:c>
      <x:c r="B10" t="str">
        <x:v>Categoría</x:v>
      </x:c>
      <x:c r="C10" t="n">
        <x:v>106</x:v>
      </x:c>
      <x:c r="D10" t="n">
        <x:v>48</x:v>
      </x:c>
      <x:c r="E10" t="n">
        <x:v>5</x:v>
      </x:c>
      <x:c r="F10" t="n">
        <x:v>4</x:v>
      </x:c>
      <x:c r="G10" s="10" t="n">
        <x:v>0.0472</x:v>
      </x:c>
      <x:c r="H10" s="10" t="n">
        <x:v>0</x:v>
      </x:c>
      <x:c r="I10" t="n">
        <x:v>0</x:v>
      </x:c>
      <x:c r="J10" s="6" t="n">
        <x:v>0</x:v>
      </x:c>
    </x:row>
    <x:row r="11">
      <x:c r="A11" t="str">
        <x:v>205 55 16</x:v>
      </x:c>
      <x:c r="B11" t="str">
        <x:v>Medida</x:v>
      </x:c>
      <x:c r="C11" t="n">
        <x:v>91</x:v>
      </x:c>
      <x:c r="D11" t="n">
        <x:v>66</x:v>
      </x:c>
      <x:c r="E11" t="n">
        <x:v>97</x:v>
      </x:c>
      <x:c r="F11" t="n">
        <x:v>27</x:v>
      </x:c>
      <x:c r="G11" s="10" t="n">
        <x:v>1.0659</x:v>
      </x:c>
      <x:c r="H11" s="10" t="n">
        <x:v>0</x:v>
      </x:c>
      <x:c r="I11" t="n">
        <x:v>0</x:v>
      </x:c>
      <x:c r="J11" s="6" t="n">
        <x:v>0</x:v>
      </x:c>
    </x:row>
    <x:row r="12">
      <x:c r="A12" t="str">
        <x:v>225 45 r17</x:v>
      </x:c>
      <x:c r="B12" t="str">
        <x:v>Medida</x:v>
      </x:c>
      <x:c r="C12" t="n">
        <x:v>82</x:v>
      </x:c>
      <x:c r="D12" t="n">
        <x:v>58</x:v>
      </x:c>
      <x:c r="E12" t="n">
        <x:v>45</x:v>
      </x:c>
      <x:c r="F12" t="n">
        <x:v>16</x:v>
      </x:c>
      <x:c r="G12" s="10" t="n">
        <x:v>0.5488000000000001</x:v>
      </x:c>
      <x:c r="H12" s="10" t="n">
        <x:v>0</x:v>
      </x:c>
      <x:c r="I12" t="n">
        <x:v>0</x:v>
      </x:c>
      <x:c r="J12" s="6" t="n">
        <x:v>0</x:v>
      </x:c>
    </x:row>
    <x:row r="13">
      <x:c r="A13" t="str">
        <x:v>215 65 16</x:v>
      </x:c>
      <x:c r="B13" t="str">
        <x:v>Medida</x:v>
      </x:c>
      <x:c r="C13" t="n">
        <x:v>69</x:v>
      </x:c>
      <x:c r="D13" t="n">
        <x:v>43</x:v>
      </x:c>
      <x:c r="E13" t="n">
        <x:v>65</x:v>
      </x:c>
      <x:c r="F13" t="n">
        <x:v>18</x:v>
      </x:c>
      <x:c r="G13" s="10" t="n">
        <x:v>0.9420000000000001</x:v>
      </x:c>
      <x:c r="H13" s="10" t="n">
        <x:v>0</x:v>
      </x:c>
      <x:c r="I13" t="n">
        <x:v>0</x:v>
      </x:c>
      <x:c r="J13" s="6" t="n">
        <x:v>0</x:v>
      </x:c>
    </x:row>
    <x:row r="14">
      <x:c r="A14" t="str">
        <x:v>auto</x:v>
      </x:c>
      <x:c r="B14" t="str">
        <x:v>Categoría</x:v>
      </x:c>
      <x:c r="C14" t="n">
        <x:v>68</x:v>
      </x:c>
      <x:c r="D14" t="n">
        <x:v>50</x:v>
      </x:c>
      <x:c r="E14" t="n">
        <x:v>2</x:v>
      </x:c>
      <x:c r="F14" t="n">
        <x:v>2</x:v>
      </x:c>
      <x:c r="G14" s="10" t="n">
        <x:v>0.0294</x:v>
      </x:c>
      <x:c r="H14" s="10" t="n">
        <x:v>0</x:v>
      </x:c>
      <x:c r="I14" t="n">
        <x:v>0</x:v>
      </x:c>
      <x:c r="J14" s="6" t="n">
        <x:v>0</x:v>
      </x:c>
    </x:row>
    <x:row r="15">
      <x:c r="A15" t="str">
        <x:v>265-70-r16-michelin-ltx-force-112t</x:v>
      </x:c>
      <x:c r="B15" t="str">
        <x:v>Producto / URL</x:v>
      </x:c>
      <x:c r="C15" t="n">
        <x:v>62</x:v>
      </x:c>
      <x:c r="D15" t="n">
        <x:v>38</x:v>
      </x:c>
      <x:c r="E15" t="n">
        <x:v>0</x:v>
      </x:c>
      <x:c r="F15" t="n">
        <x:v>0</x:v>
      </x:c>
      <x:c r="G15" s="10" t="n">
        <x:v>0</x:v>
      </x:c>
      <x:c r="H15" s="10" t="n">
        <x:v>0</x:v>
      </x:c>
      <x:c r="I15" t="n">
        <x:v>0</x:v>
      </x:c>
      <x:c r="J15" s="6" t="n">
        <x:v>0</x:v>
      </x:c>
    </x:row>
    <x:row r="16">
      <x:c r="A16" t="str">
        <x:v>195</x:v>
      </x:c>
      <x:c r="B16" t="str">
        <x:v>Otro</x:v>
      </x:c>
      <x:c r="C16" t="n">
        <x:v>59</x:v>
      </x:c>
      <x:c r="D16" t="n">
        <x:v>32</x:v>
      </x:c>
      <x:c r="E16" t="n">
        <x:v>6</x:v>
      </x:c>
      <x:c r="F16" t="n">
        <x:v>3</x:v>
      </x:c>
      <x:c r="G16" s="10" t="n">
        <x:v>0.1017</x:v>
      </x:c>
      <x:c r="H16" s="10" t="n">
        <x:v>0</x:v>
      </x:c>
      <x:c r="I16" t="n">
        <x:v>0</x:v>
      </x:c>
      <x:c r="J16" s="6" t="n">
        <x:v>0</x:v>
      </x:c>
    </x:row>
    <x:row r="17">
      <x:c r="A17" t="str">
        <x:v>205</x:v>
      </x:c>
      <x:c r="B17" t="str">
        <x:v>Otro</x:v>
      </x:c>
      <x:c r="C17" t="n">
        <x:v>56</x:v>
      </x:c>
      <x:c r="D17" t="n">
        <x:v>35</x:v>
      </x:c>
      <x:c r="E17" t="n">
        <x:v>2</x:v>
      </x:c>
      <x:c r="F17" t="n">
        <x:v>2</x:v>
      </x:c>
      <x:c r="G17" s="10" t="n">
        <x:v>0.035699999999999996</x:v>
      </x:c>
      <x:c r="H17" s="10" t="n">
        <x:v>0</x:v>
      </x:c>
      <x:c r="I17" t="n">
        <x:v>0</x:v>
      </x:c>
      <x:c r="J17" s="6" t="n">
        <x:v>0</x:v>
      </x:c>
    </x:row>
    <x:row r="18">
      <x:c r="A18" t="str">
        <x:v>265-65-r17-michelin-x-lt-a-s-112t</x:v>
      </x:c>
      <x:c r="B18" t="str">
        <x:v>Producto / URL</x:v>
      </x:c>
      <x:c r="C18" t="n">
        <x:v>56</x:v>
      </x:c>
      <x:c r="D18" t="n">
        <x:v>37</x:v>
      </x:c>
      <x:c r="E18" t="n">
        <x:v>0</x:v>
      </x:c>
      <x:c r="F18" t="n">
        <x:v>0</x:v>
      </x:c>
      <x:c r="G18" s="10" t="n">
        <x:v>0</x:v>
      </x:c>
      <x:c r="H18" s="10" t="n">
        <x:v>0</x:v>
      </x:c>
      <x:c r="I18" t="n">
        <x:v>0</x:v>
      </x:c>
      <x:c r="J18" s="6" t="n">
        <x:v>0</x:v>
      </x:c>
    </x:row>
    <x:row r="19">
      <x:c r="A19" t="str">
        <x:v>265 70 r17</x:v>
      </x:c>
      <x:c r="B19" t="str">
        <x:v>Medida</x:v>
      </x:c>
      <x:c r="C19" t="n">
        <x:v>54</x:v>
      </x:c>
      <x:c r="D19" t="n">
        <x:v>35</x:v>
      </x:c>
      <x:c r="E19" t="n">
        <x:v>47</x:v>
      </x:c>
      <x:c r="F19" t="n">
        <x:v>15</x:v>
      </x:c>
      <x:c r="G19" s="10" t="n">
        <x:v>0.8704000000000001</x:v>
      </x:c>
      <x:c r="H19" s="10" t="n">
        <x:v>0</x:v>
      </x:c>
      <x:c r="I19" t="n">
        <x:v>0</x:v>
      </x:c>
      <x:c r="J19" s="6" t="n">
        <x:v>0</x:v>
      </x:c>
    </x:row>
    <x:row r="20">
      <x:c r="A20" t="str">
        <x:v>225</x:v>
      </x:c>
      <x:c r="B20" t="str">
        <x:v>Otro</x:v>
      </x:c>
      <x:c r="C20" t="n">
        <x:v>50</x:v>
      </x:c>
      <x:c r="D20" t="n">
        <x:v>30</x:v>
      </x:c>
      <x:c r="E20" t="n">
        <x:v>6</x:v>
      </x:c>
      <x:c r="F20" t="n">
        <x:v>2</x:v>
      </x:c>
      <x:c r="G20" s="10" t="n">
        <x:v>0.12</x:v>
      </x:c>
      <x:c r="H20" s="10" t="n">
        <x:v>0</x:v>
      </x:c>
      <x:c r="I20" t="n">
        <x:v>0</x:v>
      </x:c>
      <x:c r="J20" s="6" t="n">
        <x:v>0</x:v>
      </x:c>
    </x:row>
    <x:row r="21">
      <x:c r="A21" t="str">
        <x:v>265 60 r18</x:v>
      </x:c>
      <x:c r="B21" t="str">
        <x:v>Medida</x:v>
      </x:c>
      <x:c r="C21" t="n">
        <x:v>49</x:v>
      </x:c>
      <x:c r="D21" t="n">
        <x:v>31</x:v>
      </x:c>
      <x:c r="E21" t="n">
        <x:v>37</x:v>
      </x:c>
      <x:c r="F21" t="n">
        <x:v>15</x:v>
      </x:c>
      <x:c r="G21" s="10" t="n">
        <x:v>0.7551000000000001</x:v>
      </x:c>
      <x:c r="H21" s="10" t="n">
        <x:v>0</x:v>
      </x:c>
      <x:c r="I21" t="n">
        <x:v>0</x:v>
      </x:c>
      <x:c r="J21" s="6" t="n">
        <x:v>0</x:v>
      </x:c>
    </x:row>
    <x:row r="22">
      <x:c r="A22" t="str">
        <x:v>215</x:v>
      </x:c>
      <x:c r="B22" t="str">
        <x:v>Otro</x:v>
      </x:c>
      <x:c r="C22" t="n">
        <x:v>44</x:v>
      </x:c>
      <x:c r="D22" t="n">
        <x:v>28</x:v>
      </x:c>
      <x:c r="E22" t="n">
        <x:v>0</x:v>
      </x:c>
      <x:c r="F22" t="n">
        <x:v>0</x:v>
      </x:c>
      <x:c r="G22" s="10" t="n">
        <x:v>0</x:v>
      </x:c>
      <x:c r="H22" s="10" t="n">
        <x:v>0</x:v>
      </x:c>
      <x:c r="I22" t="n">
        <x:v>0</x:v>
      </x:c>
      <x:c r="J22" s="6" t="n">
        <x:v>0</x:v>
      </x:c>
    </x:row>
    <x:row r="23">
      <x:c r="A23" t="str">
        <x:v>205-55-r16-triangle-te-307-91-v</x:v>
      </x:c>
      <x:c r="B23" t="str">
        <x:v>Producto / URL</x:v>
      </x:c>
      <x:c r="C23" t="n">
        <x:v>43</x:v>
      </x:c>
      <x:c r="D23" t="n">
        <x:v>27</x:v>
      </x:c>
      <x:c r="E23" t="n">
        <x:v>0</x:v>
      </x:c>
      <x:c r="F23" t="n">
        <x:v>0</x:v>
      </x:c>
      <x:c r="G23" s="10" t="n">
        <x:v>0</x:v>
      </x:c>
      <x:c r="H23" s="10" t="n">
        <x:v>0</x:v>
      </x:c>
      <x:c r="I23" t="n">
        <x:v>0</x:v>
      </x:c>
      <x:c r="J23" s="6" t="n">
        <x:v>0</x:v>
      </x:c>
    </x:row>
    <x:row r="24">
      <x:c r="A24" t="str">
        <x:v>super-brillo-protector-michelin-330-ml</x:v>
      </x:c>
      <x:c r="B24" t="str">
        <x:v>Otro</x:v>
      </x:c>
      <x:c r="C24" t="n">
        <x:v>42</x:v>
      </x:c>
      <x:c r="D24" t="n">
        <x:v>29</x:v>
      </x:c>
      <x:c r="E24" t="n">
        <x:v>0</x:v>
      </x:c>
      <x:c r="F24" t="n">
        <x:v>0</x:v>
      </x:c>
      <x:c r="G24" s="10" t="n">
        <x:v>0</x:v>
      </x:c>
      <x:c r="H24" s="10" t="n">
        <x:v>0</x:v>
      </x:c>
      <x:c r="I24" t="n">
        <x:v>0</x:v>
      </x:c>
      <x:c r="J24" s="6" t="n">
        <x:v>0</x:v>
      </x:c>
    </x:row>
    <x:row r="25">
      <x:c r="A25" t="str">
        <x:v>265-65-r18-bfgoodrich-all-terrain-t-a-ko2-117-114r</x:v>
      </x:c>
      <x:c r="B25" t="str">
        <x:v>Producto / URL</x:v>
      </x:c>
      <x:c r="C25" t="n">
        <x:v>40</x:v>
      </x:c>
      <x:c r="D25" t="n">
        <x:v>25</x:v>
      </x:c>
      <x:c r="E25" t="n">
        <x:v>0</x:v>
      </x:c>
      <x:c r="F25" t="n">
        <x:v>0</x:v>
      </x:c>
      <x:c r="G25" s="10" t="n">
        <x:v>0</x:v>
      </x:c>
      <x:c r="H25" s="10" t="n">
        <x:v>0</x:v>
      </x:c>
      <x:c r="I25" t="n">
        <x:v>0</x:v>
      </x:c>
      <x:c r="J25" s="6" t="n">
        <x:v>0</x:v>
      </x:c>
    </x:row>
    <x:row r="26">
      <x:c r="A26" t="str">
        <x:v>175 65 r14</x:v>
      </x:c>
      <x:c r="B26" t="str">
        <x:v>Medida</x:v>
      </x:c>
      <x:c r="C26" t="n">
        <x:v>39</x:v>
      </x:c>
      <x:c r="D26" t="n">
        <x:v>25</x:v>
      </x:c>
      <x:c r="E26" t="n">
        <x:v>56</x:v>
      </x:c>
      <x:c r="F26" t="n">
        <x:v>14</x:v>
      </x:c>
      <x:c r="G26" s="10" t="n">
        <x:v>1.4359</x:v>
      </x:c>
      <x:c r="H26" s="10" t="n">
        <x:v>0</x:v>
      </x:c>
      <x:c r="I26" t="n">
        <x:v>0</x:v>
      </x:c>
      <x:c r="J26" s="6" t="n">
        <x:v>0</x:v>
      </x:c>
    </x:row>
    <x:row r="27">
      <x:c r="A27" t="str">
        <x:v>215-65-r16-michelin-ltx-force-102h</x:v>
      </x:c>
      <x:c r="B27" t="str">
        <x:v>Producto / URL</x:v>
      </x:c>
      <x:c r="C27" t="n">
        <x:v>37</x:v>
      </x:c>
      <x:c r="D27" t="n">
        <x:v>19</x:v>
      </x:c>
      <x:c r="E27" t="n">
        <x:v>0</x:v>
      </x:c>
      <x:c r="F27" t="n">
        <x:v>0</x:v>
      </x:c>
      <x:c r="G27" s="10" t="n">
        <x:v>0</x:v>
      </x:c>
      <x:c r="H27" s="10" t="n">
        <x:v>0</x:v>
      </x:c>
      <x:c r="I27" t="n">
        <x:v>0</x:v>
      </x:c>
      <x:c r="J27" s="6" t="n">
        <x:v>0</x:v>
      </x:c>
    </x:row>
    <x:row r="28">
      <x:c r="A28" t="str">
        <x:v>255-55-r20-bfgoodrich-trail-terrain-ta-110-h</x:v>
      </x:c>
      <x:c r="B28" t="str">
        <x:v>Producto / URL</x:v>
      </x:c>
      <x:c r="C28" t="n">
        <x:v>36</x:v>
      </x:c>
      <x:c r="D28" t="n">
        <x:v>20</x:v>
      </x:c>
      <x:c r="E28" t="n">
        <x:v>0</x:v>
      </x:c>
      <x:c r="F28" t="n">
        <x:v>0</x:v>
      </x:c>
      <x:c r="G28" s="10" t="n">
        <x:v>0</x:v>
      </x:c>
      <x:c r="H28" s="10" t="n">
        <x:v>0</x:v>
      </x:c>
      <x:c r="I28" t="n">
        <x:v>0</x:v>
      </x:c>
      <x:c r="J28" s="6" t="n">
        <x:v>0</x:v>
      </x:c>
    </x:row>
    <x:row r="29">
      <x:c r="A29" t="str">
        <x:v>265-60-r18-michelin-primacy-suv-110h</x:v>
      </x:c>
      <x:c r="B29" t="str">
        <x:v>Producto / URL</x:v>
      </x:c>
      <x:c r="C29" t="n">
        <x:v>34</x:v>
      </x:c>
      <x:c r="D29" t="n">
        <x:v>12</x:v>
      </x:c>
      <x:c r="E29" t="n">
        <x:v>0</x:v>
      </x:c>
      <x:c r="F29" t="n">
        <x:v>0</x:v>
      </x:c>
      <x:c r="G29" s="10" t="n">
        <x:v>0</x:v>
      </x:c>
      <x:c r="H29" s="10" t="n">
        <x:v>0</x:v>
      </x:c>
      <x:c r="I29" t="n">
        <x:v>0</x:v>
      </x:c>
      <x:c r="J29" s="6" t="n">
        <x:v>0</x:v>
      </x:c>
    </x:row>
    <x:row r="30">
      <x:c r="A30" t="str">
        <x:v>215 50 r17</x:v>
      </x:c>
      <x:c r="B30" t="str">
        <x:v>Medida</x:v>
      </x:c>
      <x:c r="C30" t="n">
        <x:v>34</x:v>
      </x:c>
      <x:c r="D30" t="n">
        <x:v>30</x:v>
      </x:c>
      <x:c r="E30" t="n">
        <x:v>43</x:v>
      </x:c>
      <x:c r="F30" t="n">
        <x:v>11</x:v>
      </x:c>
      <x:c r="G30" s="10" t="n">
        <x:v>1.2647</x:v>
      </x:c>
      <x:c r="H30" s="10" t="n">
        <x:v>0</x:v>
      </x:c>
      <x:c r="I30" t="n">
        <x:v>0</x:v>
      </x:c>
      <x:c r="J30" s="6" t="n">
        <x:v>0</x:v>
      </x:c>
    </x:row>
    <x:row r="31">
      <x:c r="A31" t="str">
        <x:v>185 65 r15</x:v>
      </x:c>
      <x:c r="B31" t="str">
        <x:v>Medida</x:v>
      </x:c>
      <x:c r="C31" t="n">
        <x:v>33</x:v>
      </x:c>
      <x:c r="D31" t="n">
        <x:v>18</x:v>
      </x:c>
      <x:c r="E31" t="n">
        <x:v>47</x:v>
      </x:c>
      <x:c r="F31" t="n">
        <x:v>11</x:v>
      </x:c>
      <x:c r="G31" s="10" t="n">
        <x:v>1.4242</x:v>
      </x:c>
      <x:c r="H31" s="10" t="n">
        <x:v>0</x:v>
      </x:c>
      <x:c r="I31" t="n">
        <x:v>0</x:v>
      </x:c>
      <x:c r="J31" s="6" t="n">
        <x:v>0</x:v>
      </x:c>
    </x:row>
    <x:row r="32">
      <x:c r="A32" t="str">
        <x:v>205 55 r16</x:v>
      </x:c>
      <x:c r="B32" t="str">
        <x:v>Medida</x:v>
      </x:c>
      <x:c r="C32" t="n">
        <x:v>32</x:v>
      </x:c>
      <x:c r="D32" t="n">
        <x:v>25</x:v>
      </x:c>
      <x:c r="E32" t="n">
        <x:v>12</x:v>
      </x:c>
      <x:c r="F32" t="n">
        <x:v>6</x:v>
      </x:c>
      <x:c r="G32" s="10" t="n">
        <x:v>0.375</x:v>
      </x:c>
      <x:c r="H32" s="10" t="n">
        <x:v>0</x:v>
      </x:c>
      <x:c r="I32" t="n">
        <x:v>0</x:v>
      </x:c>
      <x:c r="J32" s="6" t="n">
        <x:v>0</x:v>
      </x:c>
    </x:row>
    <x:row r="33">
      <x:c r="A33" t="str">
        <x:v>195 65 r15</x:v>
      </x:c>
      <x:c r="B33" t="str">
        <x:v>Medida</x:v>
      </x:c>
      <x:c r="C33" t="n">
        <x:v>31</x:v>
      </x:c>
      <x:c r="D33" t="n">
        <x:v>19</x:v>
      </x:c>
      <x:c r="E33" t="n">
        <x:v>45</x:v>
      </x:c>
      <x:c r="F33" t="n">
        <x:v>12</x:v>
      </x:c>
      <x:c r="G33" s="10" t="n">
        <x:v>1.4516</x:v>
      </x:c>
      <x:c r="H33" s="10" t="n">
        <x:v>0</x:v>
      </x:c>
      <x:c r="I33" t="n">
        <x:v>0</x:v>
      </x:c>
      <x:c r="J33" s="6" t="n">
        <x:v>0</x:v>
      </x:c>
    </x:row>
    <x:row r="34">
      <x:c r="A34" t="str">
        <x:v>265-65-r17-triangle-tr292-112-s</x:v>
      </x:c>
      <x:c r="B34" t="str">
        <x:v>Producto / URL</x:v>
      </x:c>
      <x:c r="C34" t="n">
        <x:v>30</x:v>
      </x:c>
      <x:c r="D34" t="n">
        <x:v>22</x:v>
      </x:c>
      <x:c r="E34" t="n">
        <x:v>0</x:v>
      </x:c>
      <x:c r="F34" t="n">
        <x:v>0</x:v>
      </x:c>
      <x:c r="G34" s="10" t="n">
        <x:v>0</x:v>
      </x:c>
      <x:c r="H34" s="10" t="n">
        <x:v>0</x:v>
      </x:c>
      <x:c r="I34" t="n">
        <x:v>0</x:v>
      </x:c>
      <x:c r="J34" s="6" t="n">
        <x:v>0</x:v>
      </x:c>
    </x:row>
    <x:row r="35">
      <x:c r="A35" t="str">
        <x:v>175-65-r14-pirelli-chrono-90-t</x:v>
      </x:c>
      <x:c r="B35" t="str">
        <x:v>Producto / URL</x:v>
      </x:c>
      <x:c r="C35" t="n">
        <x:v>29</x:v>
      </x:c>
      <x:c r="D35" t="n">
        <x:v>20</x:v>
      </x:c>
      <x:c r="E35" t="n">
        <x:v>0</x:v>
      </x:c>
      <x:c r="F35" t="n">
        <x:v>0</x:v>
      </x:c>
      <x:c r="G35" s="10" t="n">
        <x:v>0</x:v>
      </x:c>
      <x:c r="H35" s="10" t="n">
        <x:v>0</x:v>
      </x:c>
      <x:c r="I35" t="n">
        <x:v>0</x:v>
      </x:c>
      <x:c r="J35" s="6" t="n">
        <x:v>0</x:v>
      </x:c>
    </x:row>
    <x:row r="36">
      <x:c r="A36" t="str">
        <x:v>215-60-r17-continental-conti-cross-contact-2-96-h</x:v>
      </x:c>
      <x:c r="B36" t="str">
        <x:v>Producto / URL</x:v>
      </x:c>
      <x:c r="C36" t="n">
        <x:v>28</x:v>
      </x:c>
      <x:c r="D36" t="n">
        <x:v>25</x:v>
      </x:c>
      <x:c r="E36" t="n">
        <x:v>0</x:v>
      </x:c>
      <x:c r="F36" t="n">
        <x:v>0</x:v>
      </x:c>
      <x:c r="G36" s="10" t="n">
        <x:v>0</x:v>
      </x:c>
      <x:c r="H36" s="10" t="n">
        <x:v>0</x:v>
      </x:c>
      <x:c r="I36" t="n">
        <x:v>0</x:v>
      </x:c>
      <x:c r="J36" s="6" t="n">
        <x:v>0</x:v>
      </x:c>
    </x:row>
    <x:row r="37">
      <x:c r="A37" t="str">
        <x:v>265</x:v>
      </x:c>
      <x:c r="B37" t="str">
        <x:v>Otro</x:v>
      </x:c>
      <x:c r="C37" t="n">
        <x:v>28</x:v>
      </x:c>
      <x:c r="D37" t="n">
        <x:v>21</x:v>
      </x:c>
      <x:c r="E37" t="n">
        <x:v>0</x:v>
      </x:c>
      <x:c r="F37" t="n">
        <x:v>0</x:v>
      </x:c>
      <x:c r="G37" s="10" t="n">
        <x:v>0</x:v>
      </x:c>
      <x:c r="H37" s="10" t="n">
        <x:v>0</x:v>
      </x:c>
      <x:c r="I37" t="n">
        <x:v>0</x:v>
      </x:c>
      <x:c r="J37" s="6" t="n">
        <x:v>0</x:v>
      </x:c>
    </x:row>
    <x:row r="38">
      <x:c r="A38" t="str">
        <x:v>195 55 r15</x:v>
      </x:c>
      <x:c r="B38" t="str">
        <x:v>Medida</x:v>
      </x:c>
      <x:c r="C38" t="n">
        <x:v>28</x:v>
      </x:c>
      <x:c r="D38" t="n">
        <x:v>22</x:v>
      </x:c>
      <x:c r="E38" t="n">
        <x:v>41</x:v>
      </x:c>
      <x:c r="F38" t="n">
        <x:v>9</x:v>
      </x:c>
      <x:c r="G38" s="10" t="n">
        <x:v>1.4643000000000002</x:v>
      </x:c>
      <x:c r="H38" s="10" t="n">
        <x:v>0</x:v>
      </x:c>
      <x:c r="I38" t="n">
        <x:v>0</x:v>
      </x:c>
      <x:c r="J38" s="6" t="n">
        <x:v>0</x:v>
      </x:c>
    </x:row>
    <x:row r="39">
      <x:c r="A39" t="str">
        <x:v>215-50-r17-michelin-primacy-4-plus-945w</x:v>
      </x:c>
      <x:c r="B39" t="str">
        <x:v>Producto / URL</x:v>
      </x:c>
      <x:c r="C39" t="n">
        <x:v>27</x:v>
      </x:c>
      <x:c r="D39" t="n">
        <x:v>18</x:v>
      </x:c>
      <x:c r="E39" t="n">
        <x:v>0</x:v>
      </x:c>
      <x:c r="F39" t="n">
        <x:v>0</x:v>
      </x:c>
      <x:c r="G39" s="10" t="n">
        <x:v>0</x:v>
      </x:c>
      <x:c r="H39" s="10" t="n">
        <x:v>0</x:v>
      </x:c>
      <x:c r="I39" t="n">
        <x:v>0</x:v>
      </x:c>
      <x:c r="J39" s="6" t="n">
        <x:v>0</x:v>
      </x:c>
    </x:row>
    <x:row r="40">
      <x:c r="A40" t="str">
        <x:v>195 55 r16</x:v>
      </x:c>
      <x:c r="B40" t="str">
        <x:v>Medida</x:v>
      </x:c>
      <x:c r="C40" t="n">
        <x:v>27</x:v>
      </x:c>
      <x:c r="D40" t="n">
        <x:v>23</x:v>
      </x:c>
      <x:c r="E40" t="n">
        <x:v>29</x:v>
      </x:c>
      <x:c r="F40" t="n">
        <x:v>9</x:v>
      </x:c>
      <x:c r="G40" s="10" t="n">
        <x:v>1.0741</x:v>
      </x:c>
      <x:c r="H40" s="10" t="n">
        <x:v>0</x:v>
      </x:c>
      <x:c r="I40" t="n">
        <x:v>0</x:v>
      </x:c>
      <x:c r="J40" s="6" t="n">
        <x:v>0</x:v>
      </x:c>
    </x:row>
    <x:row r="41">
      <x:c r="A41" t="str">
        <x:v>205 60 16</x:v>
      </x:c>
      <x:c r="B41" t="str">
        <x:v>Medida</x:v>
      </x:c>
      <x:c r="C41" t="n">
        <x:v>26</x:v>
      </x:c>
      <x:c r="D41" t="n">
        <x:v>20</x:v>
      </x:c>
      <x:c r="E41" t="n">
        <x:v>41</x:v>
      </x:c>
      <x:c r="F41" t="n">
        <x:v>6</x:v>
      </x:c>
      <x:c r="G41" s="10" t="n">
        <x:v>1.5769</x:v>
      </x:c>
      <x:c r="H41" s="10" t="n">
        <x:v>0</x:v>
      </x:c>
      <x:c r="I41" t="n">
        <x:v>0</x:v>
      </x:c>
      <x:c r="J41" s="6" t="n">
        <x:v>0</x:v>
      </x:c>
    </x:row>
    <x:row r="42">
      <x:c r="A42" t="str">
        <x:v>265 65 17</x:v>
      </x:c>
      <x:c r="B42" t="str">
        <x:v>Medida</x:v>
      </x:c>
      <x:c r="C42" t="n">
        <x:v>25</x:v>
      </x:c>
      <x:c r="D42" t="n">
        <x:v>17</x:v>
      </x:c>
      <x:c r="E42" t="n">
        <x:v>21</x:v>
      </x:c>
      <x:c r="F42" t="n">
        <x:v>8</x:v>
      </x:c>
      <x:c r="G42" s="10" t="n">
        <x:v>0.84</x:v>
      </x:c>
      <x:c r="H42" s="10" t="n">
        <x:v>0</x:v>
      </x:c>
      <x:c r="I42" t="n">
        <x:v>0</x:v>
      </x:c>
      <x:c r="J42" s="6" t="n">
        <x:v>0</x:v>
      </x:c>
    </x:row>
    <x:row r="43">
      <x:c r="A43" t="str">
        <x:v>195 60 r15</x:v>
      </x:c>
      <x:c r="B43" t="str">
        <x:v>Medida</x:v>
      </x:c>
      <x:c r="C43" t="n">
        <x:v>24</x:v>
      </x:c>
      <x:c r="D43" t="n">
        <x:v>17</x:v>
      </x:c>
      <x:c r="E43" t="n">
        <x:v>7</x:v>
      </x:c>
      <x:c r="F43" t="n">
        <x:v>4</x:v>
      </x:c>
      <x:c r="G43" s="10" t="n">
        <x:v>0.2917</x:v>
      </x:c>
      <x:c r="H43" s="10" t="n">
        <x:v>0</x:v>
      </x:c>
      <x:c r="I43" t="n">
        <x:v>0</x:v>
      </x:c>
      <x:c r="J43" s="6" t="n">
        <x:v>0</x:v>
      </x:c>
    </x:row>
    <x:row r="44">
      <x:c r="A44" t="str">
        <x:v>mr-166</x:v>
      </x:c>
      <x:c r="B44" t="str">
        <x:v>Otro</x:v>
      </x:c>
      <x:c r="C44" t="n">
        <x:v>24</x:v>
      </x:c>
      <x:c r="D44" t="n">
        <x:v>9</x:v>
      </x:c>
      <x:c r="E44" t="n">
        <x:v>0</x:v>
      </x:c>
      <x:c r="F44" t="n">
        <x:v>0</x:v>
      </x:c>
      <x:c r="G44" s="10" t="n">
        <x:v>0</x:v>
      </x:c>
      <x:c r="H44" s="10" t="n">
        <x:v>0</x:v>
      </x:c>
      <x:c r="I44" t="n">
        <x:v>0</x:v>
      </x:c>
      <x:c r="J44" s="6" t="n">
        <x:v>0</x:v>
      </x:c>
    </x:row>
    <x:row r="45">
      <x:c r="A45" t="str">
        <x:v>265 70 16</x:v>
      </x:c>
      <x:c r="B45" t="str">
        <x:v>Medida</x:v>
      </x:c>
      <x:c r="C45" t="n">
        <x:v>23</x:v>
      </x:c>
      <x:c r="D45" t="n">
        <x:v>17</x:v>
      </x:c>
      <x:c r="E45" t="n">
        <x:v>6</x:v>
      </x:c>
      <x:c r="F45" t="n">
        <x:v>4</x:v>
      </x:c>
      <x:c r="G45" s="10" t="n">
        <x:v>0.2609</x:v>
      </x:c>
      <x:c r="H45" s="10" t="n">
        <x:v>0.25</x:v>
      </x:c>
      <x:c r="I45" t="n">
        <x:v>1</x:v>
      </x:c>
      <x:c r="J45" s="6" t="n">
        <x:v>724860</x:v>
      </x:c>
    </x:row>
    <x:row r="46">
      <x:c r="A46" t="str">
        <x:v>185 65 r14</x:v>
      </x:c>
      <x:c r="B46" t="str">
        <x:v>Medida</x:v>
      </x:c>
      <x:c r="C46" t="n">
        <x:v>23</x:v>
      </x:c>
      <x:c r="D46" t="n">
        <x:v>16</x:v>
      </x:c>
      <x:c r="E46" t="n">
        <x:v>18</x:v>
      </x:c>
      <x:c r="F46" t="n">
        <x:v>5</x:v>
      </x:c>
      <x:c r="G46" s="10" t="n">
        <x:v>0.7826000000000001</x:v>
      </x:c>
      <x:c r="H46" s="10" t="n">
        <x:v>0</x:v>
      </x:c>
      <x:c r="I46" t="n">
        <x:v>0</x:v>
      </x:c>
      <x:c r="J46" s="6" t="n">
        <x:v>0</x:v>
      </x:c>
    </x:row>
    <x:row r="47">
      <x:c r="A47" t="str">
        <x:v>185 60 r15</x:v>
      </x:c>
      <x:c r="B47" t="str">
        <x:v>Medida</x:v>
      </x:c>
      <x:c r="C47" t="n">
        <x:v>23</x:v>
      </x:c>
      <x:c r="D47" t="n">
        <x:v>17</x:v>
      </x:c>
      <x:c r="E47" t="n">
        <x:v>35</x:v>
      </x:c>
      <x:c r="F47" t="n">
        <x:v>8</x:v>
      </x:c>
      <x:c r="G47" s="10" t="n">
        <x:v>1.5216999999999998</x:v>
      </x:c>
      <x:c r="H47" s="10" t="n">
        <x:v>0</x:v>
      </x:c>
      <x:c r="I47" t="n">
        <x:v>0</x:v>
      </x:c>
      <x:c r="J47" s="6" t="n">
        <x:v>0</x:v>
      </x:c>
    </x:row>
    <x:row r="48">
      <x:c r="A48" t="str">
        <x:v>225-65-r17-michelin-primacy-suv-plus-106-h</x:v>
      </x:c>
      <x:c r="B48" t="str">
        <x:v>Producto / URL</x:v>
      </x:c>
      <x:c r="C48" t="n">
        <x:v>23</x:v>
      </x:c>
      <x:c r="D48" t="n">
        <x:v>11</x:v>
      </x:c>
      <x:c r="E48" t="n">
        <x:v>0</x:v>
      </x:c>
      <x:c r="F48" t="n">
        <x:v>0</x:v>
      </x:c>
      <x:c r="G48" s="10" t="n">
        <x:v>0</x:v>
      </x:c>
      <x:c r="H48" s="10" t="n">
        <x:v>0</x:v>
      </x:c>
      <x:c r="I48" t="n">
        <x:v>0</x:v>
      </x:c>
      <x:c r="J48" s="6" t="n">
        <x:v>0</x:v>
      </x:c>
    </x:row>
    <x:row r="49">
      <x:c r="A49" t="str">
        <x:v>235-60-r18-triangle-tr257-103-v</x:v>
      </x:c>
      <x:c r="B49" t="str">
        <x:v>Producto / URL</x:v>
      </x:c>
      <x:c r="C49" t="n">
        <x:v>22</x:v>
      </x:c>
      <x:c r="D49" t="n">
        <x:v>10</x:v>
      </x:c>
      <x:c r="E49" t="n">
        <x:v>0</x:v>
      </x:c>
      <x:c r="F49" t="n">
        <x:v>0</x:v>
      </x:c>
      <x:c r="G49" s="10" t="n">
        <x:v>0</x:v>
      </x:c>
      <x:c r="H49" s="10" t="n">
        <x:v>0</x:v>
      </x:c>
      <x:c r="I49" t="n">
        <x:v>0</x:v>
      </x:c>
      <x:c r="J49" s="6" t="n">
        <x:v>0</x:v>
      </x:c>
    </x:row>
    <x:row r="50">
      <x:c r="A50" t="str">
        <x:v>265 65 r17</x:v>
      </x:c>
      <x:c r="B50" t="str">
        <x:v>Medida</x:v>
      </x:c>
      <x:c r="C50" t="n">
        <x:v>22</x:v>
      </x:c>
      <x:c r="D50" t="n">
        <x:v>13</x:v>
      </x:c>
      <x:c r="E50" t="n">
        <x:v>19</x:v>
      </x:c>
      <x:c r="F50" t="n">
        <x:v>8</x:v>
      </x:c>
      <x:c r="G50" s="10" t="n">
        <x:v>0.8636</x:v>
      </x:c>
      <x:c r="H50" s="10" t="n">
        <x:v>0</x:v>
      </x:c>
      <x:c r="I50" t="n">
        <x:v>0</x:v>
      </x:c>
      <x:c r="J50" s="6" t="n">
        <x:v>0</x:v>
      </x:c>
    </x:row>
    <x:row r="51">
      <x:c r="A51" t="str">
        <x:v>michelin vintage</x:v>
      </x:c>
      <x:c r="B51" t="str">
        <x:v>Otro</x:v>
      </x:c>
      <x:c r="C51" t="n">
        <x:v>21</x:v>
      </x:c>
      <x:c r="D51" t="n">
        <x:v>2</x:v>
      </x:c>
      <x:c r="E51" t="n">
        <x:v>1</x:v>
      </x:c>
      <x:c r="F51" t="n">
        <x:v>1</x:v>
      </x:c>
      <x:c r="G51" s="10" t="n">
        <x:v>0.047599999999999996</x:v>
      </x:c>
      <x:c r="H51" s="10" t="n">
        <x:v>0</x:v>
      </x:c>
      <x:c r="I51" t="n">
        <x:v>0</x:v>
      </x:c>
      <x:c r="J51" s="6" t="n">
        <x:v>0</x:v>
      </x:c>
    </x:row>
    <x:row r="52">
      <x:c r="A52" t="str">
        <x:v>175 70 r14</x:v>
      </x:c>
      <x:c r="B52" t="str">
        <x:v>Medida</x:v>
      </x:c>
      <x:c r="C52" t="n">
        <x:v>21</x:v>
      </x:c>
      <x:c r="D52" t="n">
        <x:v>15</x:v>
      </x:c>
      <x:c r="E52" t="n">
        <x:v>8</x:v>
      </x:c>
      <x:c r="F52" t="n">
        <x:v>4</x:v>
      </x:c>
      <x:c r="G52" s="10" t="n">
        <x:v>0.381</x:v>
      </x:c>
      <x:c r="H52" s="10" t="n">
        <x:v>0</x:v>
      </x:c>
      <x:c r="I52" t="n">
        <x:v>0</x:v>
      </x:c>
      <x:c r="J52" s="6" t="n">
        <x:v>0</x:v>
      </x:c>
    </x:row>
    <x:row r="53">
      <x:c r="A53" t="str">
        <x:v>225 65 r17</x:v>
      </x:c>
      <x:c r="B53" t="str">
        <x:v>Medida</x:v>
      </x:c>
      <x:c r="C53" t="n">
        <x:v>21</x:v>
      </x:c>
      <x:c r="D53" t="n">
        <x:v>14</x:v>
      </x:c>
      <x:c r="E53" t="n">
        <x:v>23</x:v>
      </x:c>
      <x:c r="F53" t="n">
        <x:v>6</x:v>
      </x:c>
      <x:c r="G53" s="10" t="n">
        <x:v>1.0952</x:v>
      </x:c>
      <x:c r="H53" s="10" t="n">
        <x:v>0</x:v>
      </x:c>
      <x:c r="I53" t="n">
        <x:v>0</x:v>
      </x:c>
      <x:c r="J53" s="6" t="n">
        <x:v>0</x:v>
      </x:c>
    </x:row>
    <x:row r="54">
      <x:c r="A54" t="str">
        <x:v>175 70 r13</x:v>
      </x:c>
      <x:c r="B54" t="str">
        <x:v>Medida</x:v>
      </x:c>
      <x:c r="C54" t="n">
        <x:v>20</x:v>
      </x:c>
      <x:c r="D54" t="n">
        <x:v>16</x:v>
      </x:c>
      <x:c r="E54" t="n">
        <x:v>7</x:v>
      </x:c>
      <x:c r="F54" t="n">
        <x:v>6</x:v>
      </x:c>
      <x:c r="G54" s="10" t="n">
        <x:v>0.35</x:v>
      </x:c>
      <x:c r="H54" s="10" t="n">
        <x:v>0</x:v>
      </x:c>
      <x:c r="I54" t="n">
        <x:v>0</x:v>
      </x:c>
      <x:c r="J54" s="6" t="n">
        <x:v>0</x:v>
      </x:c>
    </x:row>
    <x:row r="55">
      <x:c r="A55" t="str">
        <x:v>204</x:v>
      </x:c>
      <x:c r="B55" t="str">
        <x:v>Otro</x:v>
      </x:c>
      <x:c r="C55" t="n">
        <x:v>20</x:v>
      </x:c>
      <x:c r="D55" t="n">
        <x:v>19</x:v>
      </x:c>
      <x:c r="E55" t="n">
        <x:v>0</x:v>
      </x:c>
      <x:c r="F55" t="n">
        <x:v>0</x:v>
      </x:c>
      <x:c r="G55" s="10" t="n">
        <x:v>0</x:v>
      </x:c>
      <x:c r="H55" s="10" t="n">
        <x:v>0</x:v>
      </x:c>
      <x:c r="I55" t="n">
        <x:v>0</x:v>
      </x:c>
      <x:c r="J55" s="6" t="n">
        <x:v>0</x:v>
      </x:c>
    </x:row>
    <x:row r="56">
      <x:c r="A56" t="str">
        <x:v>185-55-r15-triangle-tr978-82-v</x:v>
      </x:c>
      <x:c r="B56" t="str">
        <x:v>Producto / URL</x:v>
      </x:c>
      <x:c r="C56" t="n">
        <x:v>19</x:v>
      </x:c>
      <x:c r="D56" t="n">
        <x:v>6</x:v>
      </x:c>
      <x:c r="E56" t="n">
        <x:v>0</x:v>
      </x:c>
      <x:c r="F56" t="n">
        <x:v>0</x:v>
      </x:c>
      <x:c r="G56" s="10" t="n">
        <x:v>0</x:v>
      </x:c>
      <x:c r="H56" s="10" t="n">
        <x:v>0</x:v>
      </x:c>
      <x:c r="I56" t="n">
        <x:v>0</x:v>
      </x:c>
      <x:c r="J56" s="6" t="n">
        <x:v>0</x:v>
      </x:c>
    </x:row>
    <x:row r="57">
      <x:c r="A57" t="str">
        <x:v>mirage</x:v>
      </x:c>
      <x:c r="B57" t="str">
        <x:v>Otro</x:v>
      </x:c>
      <x:c r="C57" t="n">
        <x:v>19</x:v>
      </x:c>
      <x:c r="D57" t="n">
        <x:v>6</x:v>
      </x:c>
      <x:c r="E57" t="n">
        <x:v>2</x:v>
      </x:c>
      <x:c r="F57" t="n">
        <x:v>2</x:v>
      </x:c>
      <x:c r="G57" s="10" t="n">
        <x:v>0.10529999999999999</x:v>
      </x:c>
      <x:c r="H57" s="10" t="n">
        <x:v>0</x:v>
      </x:c>
      <x:c r="I57" t="n">
        <x:v>0</x:v>
      </x:c>
      <x:c r="J57" s="6" t="n">
        <x:v>0</x:v>
      </x:c>
    </x:row>
    <x:row r="58">
      <x:c r="A58" t="str">
        <x:v>155-r15-michelin-x-82-t</x:v>
      </x:c>
      <x:c r="B58" t="str">
        <x:v>Otro</x:v>
      </x:c>
      <x:c r="C58" t="n">
        <x:v>19</x:v>
      </x:c>
      <x:c r="D58" t="n">
        <x:v>10</x:v>
      </x:c>
      <x:c r="E58" t="n">
        <x:v>0</x:v>
      </x:c>
      <x:c r="F58" t="n">
        <x:v>0</x:v>
      </x:c>
      <x:c r="G58" s="10" t="n">
        <x:v>0</x:v>
      </x:c>
      <x:c r="H58" s="10" t="n">
        <x:v>0</x:v>
      </x:c>
      <x:c r="I58" t="n">
        <x:v>0</x:v>
      </x:c>
      <x:c r="J58" s="6" t="n">
        <x:v>0</x:v>
      </x:c>
    </x:row>
    <x:row r="59">
      <x:c r="A59" t="str">
        <x:v>antirrobo-wheel-lock-74627</x:v>
      </x:c>
      <x:c r="B59" t="str">
        <x:v>Otro</x:v>
      </x:c>
      <x:c r="C59" t="n">
        <x:v>19</x:v>
      </x:c>
      <x:c r="D59" t="n">
        <x:v>11</x:v>
      </x:c>
      <x:c r="E59" t="n">
        <x:v>0</x:v>
      </x:c>
      <x:c r="F59" t="n">
        <x:v>0</x:v>
      </x:c>
      <x:c r="G59" s="10" t="n">
        <x:v>0</x:v>
      </x:c>
      <x:c r="H59" s="10" t="n">
        <x:v>0</x:v>
      </x:c>
      <x:c r="I59" t="n">
        <x:v>0</x:v>
      </x:c>
      <x:c r="J59" s="6" t="n">
        <x:v>0</x:v>
      </x:c>
    </x:row>
    <x:row r="60">
      <x:c r="A60" t="str">
        <x:v>265-65-r18-bfgoodrich-trail-terrain-ta-114-t</x:v>
      </x:c>
      <x:c r="B60" t="str">
        <x:v>Producto / URL</x:v>
      </x:c>
      <x:c r="C60" t="n">
        <x:v>18</x:v>
      </x:c>
      <x:c r="D60" t="n">
        <x:v>7</x:v>
      </x:c>
      <x:c r="E60" t="n">
        <x:v>0</x:v>
      </x:c>
      <x:c r="F60" t="n">
        <x:v>0</x:v>
      </x:c>
      <x:c r="G60" s="10" t="n">
        <x:v>0</x:v>
      </x:c>
      <x:c r="H60" s="10" t="n">
        <x:v>0</x:v>
      </x:c>
      <x:c r="I60" t="n">
        <x:v>0</x:v>
      </x:c>
      <x:c r="J60" s="6" t="n">
        <x:v>0</x:v>
      </x:c>
    </x:row>
    <x:row r="61">
      <x:c r="A61" t="str">
        <x:v>yokohama</x:v>
      </x:c>
      <x:c r="B61" t="str">
        <x:v>Marca</x:v>
      </x:c>
      <x:c r="C61" t="n">
        <x:v>18</x:v>
      </x:c>
      <x:c r="D61" t="n">
        <x:v>8</x:v>
      </x:c>
      <x:c r="E61" t="n">
        <x:v>7</x:v>
      </x:c>
      <x:c r="F61" t="n">
        <x:v>4</x:v>
      </x:c>
      <x:c r="G61" s="10" t="n">
        <x:v>0.3889</x:v>
      </x:c>
      <x:c r="H61" s="10" t="n">
        <x:v>0</x:v>
      </x:c>
      <x:c r="I61" t="n">
        <x:v>0</x:v>
      </x:c>
      <x:c r="J61" s="6" t="n">
        <x:v>0</x:v>
      </x:c>
    </x:row>
    <x:row r="62">
      <x:c r="A62" t="str">
        <x:v>neumáticos 215</x:v>
      </x:c>
      <x:c r="B62" t="str">
        <x:v>Otro</x:v>
      </x:c>
      <x:c r="C62" t="n">
        <x:v>18</x:v>
      </x:c>
      <x:c r="D62" t="n">
        <x:v>2</x:v>
      </x:c>
      <x:c r="E62" t="n">
        <x:v>2</x:v>
      </x:c>
      <x:c r="F62" t="n">
        <x:v>1</x:v>
      </x:c>
      <x:c r="G62" s="10" t="n">
        <x:v>0.11109999999999999</x:v>
      </x:c>
      <x:c r="H62" s="10" t="n">
        <x:v>0</x:v>
      </x:c>
      <x:c r="I62" t="n">
        <x:v>0</x:v>
      </x:c>
      <x:c r="J62" s="6" t="n">
        <x:v>0</x:v>
      </x:c>
    </x:row>
    <x:row r="63">
      <x:c r="A63" t="str">
        <x:v>245-45-r17-bridgestone-potenza-re050a-95-y</x:v>
      </x:c>
      <x:c r="B63" t="str">
        <x:v>Producto / URL</x:v>
      </x:c>
      <x:c r="C63" t="n">
        <x:v>18</x:v>
      </x:c>
      <x:c r="D63" t="n">
        <x:v>17</x:v>
      </x:c>
      <x:c r="E63" t="n">
        <x:v>0</x:v>
      </x:c>
      <x:c r="F63" t="n">
        <x:v>0</x:v>
      </x:c>
      <x:c r="G63" s="10" t="n">
        <x:v>0</x:v>
      </x:c>
      <x:c r="H63" s="10" t="n">
        <x:v>0</x:v>
      </x:c>
      <x:c r="I63" t="n">
        <x:v>0</x:v>
      </x:c>
      <x:c r="J63" s="6" t="n">
        <x:v>0</x:v>
      </x:c>
    </x:row>
    <x:row r="64">
      <x:c r="A64" t="str">
        <x:v>265 70 r15</x:v>
      </x:c>
      <x:c r="B64" t="str">
        <x:v>Medida</x:v>
      </x:c>
      <x:c r="C64" t="n">
        <x:v>18</x:v>
      </x:c>
      <x:c r="D64" t="n">
        <x:v>10</x:v>
      </x:c>
      <x:c r="E64" t="n">
        <x:v>0</x:v>
      </x:c>
      <x:c r="F64" t="n">
        <x:v>0</x:v>
      </x:c>
      <x:c r="G64" s="10" t="n">
        <x:v>0</x:v>
      </x:c>
      <x:c r="H64" s="10" t="n">
        <x:v>0</x:v>
      </x:c>
      <x:c r="I64" t="n">
        <x:v>0</x:v>
      </x:c>
      <x:c r="J64" s="6" t="n">
        <x:v>0</x:v>
      </x:c>
    </x:row>
    <x:row r="65">
      <x:c r="A65" t="str">
        <x:v>235-55-r19-bf-goodrich-trail-terrain-ta-105-h</x:v>
      </x:c>
      <x:c r="B65" t="str">
        <x:v>Producto / URL</x:v>
      </x:c>
      <x:c r="C65" t="n">
        <x:v>17</x:v>
      </x:c>
      <x:c r="D65" t="n">
        <x:v>9</x:v>
      </x:c>
      <x:c r="E65" t="n">
        <x:v>0</x:v>
      </x:c>
      <x:c r="F65" t="n">
        <x:v>0</x:v>
      </x:c>
      <x:c r="G65" s="10" t="n">
        <x:v>0</x:v>
      </x:c>
      <x:c r="H65" s="10" t="n">
        <x:v>0</x:v>
      </x:c>
      <x:c r="I65" t="n">
        <x:v>0</x:v>
      </x:c>
      <x:c r="J65" s="6" t="n">
        <x:v>0</x:v>
      </x:c>
    </x:row>
    <x:row r="66">
      <x:c r="A66" t="str">
        <x:v>185-65-r15-continental-powercontact-2-88h-1</x:v>
      </x:c>
      <x:c r="B66" t="str">
        <x:v>Producto / URL</x:v>
      </x:c>
      <x:c r="C66" t="n">
        <x:v>17</x:v>
      </x:c>
      <x:c r="D66" t="n">
        <x:v>4</x:v>
      </x:c>
      <x:c r="E66" t="n">
        <x:v>0</x:v>
      </x:c>
      <x:c r="F66" t="n">
        <x:v>0</x:v>
      </x:c>
      <x:c r="G66" s="10" t="n">
        <x:v>0</x:v>
      </x:c>
      <x:c r="H66" s="10" t="n">
        <x:v>0</x:v>
      </x:c>
      <x:c r="I66" t="n">
        <x:v>0</x:v>
      </x:c>
      <x:c r="J66" s="6" t="n">
        <x:v>0</x:v>
      </x:c>
    </x:row>
    <x:row r="67">
      <x:c r="A67" t="str">
        <x:v>195 50 16</x:v>
      </x:c>
      <x:c r="B67" t="str">
        <x:v>Medida</x:v>
      </x:c>
      <x:c r="C67" t="n">
        <x:v>17</x:v>
      </x:c>
      <x:c r="D67" t="n">
        <x:v>12</x:v>
      </x:c>
      <x:c r="E67" t="n">
        <x:v>3</x:v>
      </x:c>
      <x:c r="F67" t="n">
        <x:v>3</x:v>
      </x:c>
      <x:c r="G67" s="10" t="n">
        <x:v>0.1765</x:v>
      </x:c>
      <x:c r="H67" s="10" t="n">
        <x:v>0</x:v>
      </x:c>
      <x:c r="I67" t="n">
        <x:v>0</x:v>
      </x:c>
      <x:c r="J67" s="6" t="n">
        <x:v>0</x:v>
      </x:c>
    </x:row>
    <x:row r="68">
      <x:c r="A68" t="str">
        <x:v>185 60 15</x:v>
      </x:c>
      <x:c r="B68" t="str">
        <x:v>Medida</x:v>
      </x:c>
      <x:c r="C68" t="n">
        <x:v>17</x:v>
      </x:c>
      <x:c r="D68" t="n">
        <x:v>14</x:v>
      </x:c>
      <x:c r="E68" t="n">
        <x:v>8</x:v>
      </x:c>
      <x:c r="F68" t="n">
        <x:v>5</x:v>
      </x:c>
      <x:c r="G68" s="10" t="n">
        <x:v>0.4706</x:v>
      </x:c>
      <x:c r="H68" s="10" t="n">
        <x:v>0</x:v>
      </x:c>
      <x:c r="I68" t="n">
        <x:v>0</x:v>
      </x:c>
      <x:c r="J68" s="6" t="n">
        <x:v>0</x:v>
      </x:c>
    </x:row>
    <x:row r="69">
      <x:c r="A69" t="str">
        <x:v>235</x:v>
      </x:c>
      <x:c r="B69" t="str">
        <x:v>Otro</x:v>
      </x:c>
      <x:c r="C69" t="n">
        <x:v>17</x:v>
      </x:c>
      <x:c r="D69" t="n">
        <x:v>11</x:v>
      </x:c>
      <x:c r="E69" t="n">
        <x:v>3</x:v>
      </x:c>
      <x:c r="F69" t="n">
        <x:v>1</x:v>
      </x:c>
      <x:c r="G69" s="10" t="n">
        <x:v>0.1765</x:v>
      </x:c>
      <x:c r="H69" s="10" t="n">
        <x:v>0</x:v>
      </x:c>
      <x:c r="I69" t="n">
        <x:v>0</x:v>
      </x:c>
      <x:c r="J69" s="6" t="n">
        <x:v>0</x:v>
      </x:c>
    </x:row>
    <x:row r="70">
      <x:c r="A70" t="str">
        <x:v>223</x:v>
      </x:c>
      <x:c r="B70" t="str">
        <x:v>Otro</x:v>
      </x:c>
      <x:c r="C70" t="n">
        <x:v>17</x:v>
      </x:c>
      <x:c r="D70" t="n">
        <x:v>12</x:v>
      </x:c>
      <x:c r="E70" t="n">
        <x:v>0</x:v>
      </x:c>
      <x:c r="F70" t="n">
        <x:v>0</x:v>
      </x:c>
      <x:c r="G70" s="10" t="n">
        <x:v>0</x:v>
      </x:c>
      <x:c r="H70" s="10" t="n">
        <x:v>0</x:v>
      </x:c>
      <x:c r="I70" t="n">
        <x:v>0</x:v>
      </x:c>
      <x:c r="J70" s="6" t="n">
        <x:v>0</x:v>
      </x:c>
    </x:row>
    <x:row r="71">
      <x:c r="A71" t="str">
        <x:v>225-65-r17-bfgoodrich-trail-terrain-ta-102-t</x:v>
      </x:c>
      <x:c r="B71" t="str">
        <x:v>Producto / URL</x:v>
      </x:c>
      <x:c r="C71" t="n">
        <x:v>17</x:v>
      </x:c>
      <x:c r="D71" t="n">
        <x:v>13</x:v>
      </x:c>
      <x:c r="E71" t="n">
        <x:v>0</x:v>
      </x:c>
      <x:c r="F71" t="n">
        <x:v>0</x:v>
      </x:c>
      <x:c r="G71" s="10" t="n">
        <x:v>0</x:v>
      </x:c>
      <x:c r="H71" s="10" t="n">
        <x:v>0</x:v>
      </x:c>
      <x:c r="I71" t="n">
        <x:v>0</x:v>
      </x:c>
      <x:c r="J71" s="6" t="n">
        <x:v>0</x:v>
      </x:c>
    </x:row>
    <x:row r="72">
      <x:c r="A72" t="str">
        <x:v>225-45-zr17-michelin-pilot-sport-4-run-flat-91w</x:v>
      </x:c>
      <x:c r="B72" t="str">
        <x:v>Otro</x:v>
      </x:c>
      <x:c r="C72" t="n">
        <x:v>17</x:v>
      </x:c>
      <x:c r="D72" t="n">
        <x:v>15</x:v>
      </x:c>
      <x:c r="E72" t="n">
        <x:v>0</x:v>
      </x:c>
      <x:c r="F72" t="n">
        <x:v>0</x:v>
      </x:c>
      <x:c r="G72" s="10" t="n">
        <x:v>0</x:v>
      </x:c>
      <x:c r="H72" s="10" t="n">
        <x:v>0</x:v>
      </x:c>
      <x:c r="I72" t="n">
        <x:v>0</x:v>
      </x:c>
      <x:c r="J72" s="6" t="n">
        <x:v>0</x:v>
      </x:c>
    </x:row>
    <x:row r="73">
      <x:c r="A73" t="str">
        <x:v>165</x:v>
      </x:c>
      <x:c r="B73" t="str">
        <x:v>Otro</x:v>
      </x:c>
      <x:c r="C73" t="n">
        <x:v>17</x:v>
      </x:c>
      <x:c r="D73" t="n">
        <x:v>8</x:v>
      </x:c>
      <x:c r="E73" t="n">
        <x:v>0</x:v>
      </x:c>
      <x:c r="F73" t="n">
        <x:v>0</x:v>
      </x:c>
      <x:c r="G73" s="10" t="n">
        <x:v>0</x:v>
      </x:c>
      <x:c r="H73" s="10" t="n">
        <x:v>0</x:v>
      </x:c>
      <x:c r="I73" t="n">
        <x:v>0</x:v>
      </x:c>
      <x:c r="J73" s="6" t="n">
        <x:v>0</x:v>
      </x:c>
    </x:row>
    <x:row r="74">
      <x:c r="A74" t="str">
        <x:v>265-60-r18-michelin-ltx-force-110-t</x:v>
      </x:c>
      <x:c r="B74" t="str">
        <x:v>Producto / URL</x:v>
      </x:c>
      <x:c r="C74" t="n">
        <x:v>16</x:v>
      </x:c>
      <x:c r="D74" t="n">
        <x:v>11</x:v>
      </x:c>
      <x:c r="E74" t="n">
        <x:v>0</x:v>
      </x:c>
      <x:c r="F74" t="n">
        <x:v>0</x:v>
      </x:c>
      <x:c r="G74" s="10" t="n">
        <x:v>0</x:v>
      </x:c>
      <x:c r="H74" s="10" t="n">
        <x:v>0</x:v>
      </x:c>
      <x:c r="I74" t="n">
        <x:v>0</x:v>
      </x:c>
      <x:c r="J74" s="6" t="n">
        <x:v>0</x:v>
      </x:c>
    </x:row>
    <x:row r="75">
      <x:c r="A75" t="str">
        <x:v>265-60-r20-bfgoodrich-all-terrain-t-a-ko2-121-118s</x:v>
      </x:c>
      <x:c r="B75" t="str">
        <x:v>Producto / URL</x:v>
      </x:c>
      <x:c r="C75" t="n">
        <x:v>16</x:v>
      </x:c>
      <x:c r="D75" t="n">
        <x:v>15</x:v>
      </x:c>
      <x:c r="E75" t="n">
        <x:v>0</x:v>
      </x:c>
      <x:c r="F75" t="n">
        <x:v>0</x:v>
      </x:c>
      <x:c r="G75" s="10" t="n">
        <x:v>0</x:v>
      </x:c>
      <x:c r="H75" s="10" t="n">
        <x:v>0</x:v>
      </x:c>
      <x:c r="I75" t="n">
        <x:v>0</x:v>
      </x:c>
      <x:c r="J75" s="6" t="n">
        <x:v>0</x:v>
      </x:c>
    </x:row>
    <x:row r="76">
      <x:c r="A76" t="str">
        <x:v>215 55 r17</x:v>
      </x:c>
      <x:c r="B76" t="str">
        <x:v>Medida</x:v>
      </x:c>
      <x:c r="C76" t="n">
        <x:v>16</x:v>
      </x:c>
      <x:c r="D76" t="n">
        <x:v>8</x:v>
      </x:c>
      <x:c r="E76" t="n">
        <x:v>25</x:v>
      </x:c>
      <x:c r="F76" t="n">
        <x:v>5</x:v>
      </x:c>
      <x:c r="G76" s="10" t="n">
        <x:v>1.5625</x:v>
      </x:c>
      <x:c r="H76" s="10" t="n">
        <x:v>0</x:v>
      </x:c>
      <x:c r="I76" t="n">
        <x:v>0</x:v>
      </x:c>
      <x:c r="J76" s="6" t="n">
        <x:v>0</x:v>
      </x:c>
    </x:row>
    <x:row r="77">
      <x:c r="A77" t="str">
        <x:v>205-65-r15-michelin-ltx-force-94t</x:v>
      </x:c>
      <x:c r="B77" t="str">
        <x:v>Producto / URL</x:v>
      </x:c>
      <x:c r="C77" t="n">
        <x:v>16</x:v>
      </x:c>
      <x:c r="D77" t="n">
        <x:v>10</x:v>
      </x:c>
      <x:c r="E77" t="n">
        <x:v>0</x:v>
      </x:c>
      <x:c r="F77" t="n">
        <x:v>0</x:v>
      </x:c>
      <x:c r="G77" s="10" t="n">
        <x:v>0</x:v>
      </x:c>
      <x:c r="H77" s="10" t="n">
        <x:v>0</x:v>
      </x:c>
      <x:c r="I77" t="n">
        <x:v>0</x:v>
      </x:c>
      <x:c r="J77" s="6" t="n">
        <x:v>0</x:v>
      </x:c>
    </x:row>
    <x:row r="78">
      <x:c r="A78" t="str">
        <x:v>cubierta para moto 17-60-160</x:v>
      </x:c>
      <x:c r="B78" t="str">
        <x:v>Otro</x:v>
      </x:c>
      <x:c r="C78" t="n">
        <x:v>16</x:v>
      </x:c>
      <x:c r="D78" t="n">
        <x:v>2</x:v>
      </x:c>
      <x:c r="E78" t="n">
        <x:v>1</x:v>
      </x:c>
      <x:c r="F78" t="n">
        <x:v>1</x:v>
      </x:c>
      <x:c r="G78" s="10" t="n">
        <x:v>0.0625</x:v>
      </x:c>
      <x:c r="H78" s="10" t="n">
        <x:v>0</x:v>
      </x:c>
      <x:c r="I78" t="n">
        <x:v>0</x:v>
      </x:c>
      <x:c r="J78" s="6" t="n">
        <x:v>0</x:v>
      </x:c>
    </x:row>
    <x:row r="79">
      <x:c r="A79" t="str">
        <x:v>primacy 5</x:v>
      </x:c>
      <x:c r="B79" t="str">
        <x:v>Otro</x:v>
      </x:c>
      <x:c r="C79" t="n">
        <x:v>16</x:v>
      </x:c>
      <x:c r="D79" t="n">
        <x:v>12</x:v>
      </x:c>
      <x:c r="E79" t="n">
        <x:v>3</x:v>
      </x:c>
      <x:c r="F79" t="n">
        <x:v>3</x:v>
      </x:c>
      <x:c r="G79" s="10" t="n">
        <x:v>0.1875</x:v>
      </x:c>
      <x:c r="H79" s="10" t="n">
        <x:v>0</x:v>
      </x:c>
      <x:c r="I79" t="n">
        <x:v>0</x:v>
      </x:c>
      <x:c r="J79" s="6" t="n">
        <x:v>0</x:v>
      </x:c>
    </x:row>
    <x:row r="80">
      <x:c r="A80" t="str">
        <x:v>225 45 17</x:v>
      </x:c>
      <x:c r="B80" t="str">
        <x:v>Medida</x:v>
      </x:c>
      <x:c r="C80" t="n">
        <x:v>16</x:v>
      </x:c>
      <x:c r="D80" t="n">
        <x:v>13</x:v>
      </x:c>
      <x:c r="E80" t="n">
        <x:v>7</x:v>
      </x:c>
      <x:c r="F80" t="n">
        <x:v>4</x:v>
      </x:c>
      <x:c r="G80" s="10" t="n">
        <x:v>0.4375</x:v>
      </x:c>
      <x:c r="H80" s="10" t="n">
        <x:v>0</x:v>
      </x:c>
      <x:c r="I80" t="n">
        <x:v>0</x:v>
      </x:c>
      <x:c r="J80" s="6" t="n">
        <x:v>0</x:v>
      </x:c>
    </x:row>
    <x:row r="81">
      <x:c r="A81" t="str">
        <x:v>antirrobos</x:v>
      </x:c>
      <x:c r="B81" t="str">
        <x:v>Otro</x:v>
      </x:c>
      <x:c r="C81" t="n">
        <x:v>15</x:v>
      </x:c>
      <x:c r="D81" t="n">
        <x:v>11</x:v>
      </x:c>
      <x:c r="E81" t="n">
        <x:v>2</x:v>
      </x:c>
      <x:c r="F81" t="n">
        <x:v>2</x:v>
      </x:c>
      <x:c r="G81" s="10" t="n">
        <x:v>0.1333</x:v>
      </x:c>
      <x:c r="H81" s="10" t="n">
        <x:v>0</x:v>
      </x:c>
      <x:c r="I81" t="n">
        <x:v>0</x:v>
      </x:c>
      <x:c r="J81" s="6" t="n">
        <x:v>0</x:v>
      </x:c>
    </x:row>
    <x:row r="82">
      <x:c r="A82" t="str">
        <x:v>235-85-r16-bfgoodrich-all-terrain-t-a-ko2-120-116s</x:v>
      </x:c>
      <x:c r="B82" t="str">
        <x:v>Producto / URL</x:v>
      </x:c>
      <x:c r="C82" t="n">
        <x:v>15</x:v>
      </x:c>
      <x:c r="D82" t="n">
        <x:v>5</x:v>
      </x:c>
      <x:c r="E82" t="n">
        <x:v>0</x:v>
      </x:c>
      <x:c r="F82" t="n">
        <x:v>0</x:v>
      </x:c>
      <x:c r="G82" s="10" t="n">
        <x:v>0</x:v>
      </x:c>
      <x:c r="H82" s="10" t="n">
        <x:v>0</x:v>
      </x:c>
      <x:c r="I82" t="n">
        <x:v>0</x:v>
      </x:c>
      <x:c r="J82" s="6" t="n">
        <x:v>0</x:v>
      </x:c>
    </x:row>
    <x:row r="83">
      <x:c r="A83" t="str">
        <x:v>cubierta michelin 265</x:v>
      </x:c>
      <x:c r="B83" t="str">
        <x:v>Otro</x:v>
      </x:c>
      <x:c r="C83" t="n">
        <x:v>15</x:v>
      </x:c>
      <x:c r="D83" t="n">
        <x:v>1</x:v>
      </x:c>
      <x:c r="E83" t="n">
        <x:v>0</x:v>
      </x:c>
      <x:c r="F83" t="n">
        <x:v>0</x:v>
      </x:c>
      <x:c r="G83" s="10" t="n">
        <x:v>0</x:v>
      </x:c>
      <x:c r="H83" s="10" t="n">
        <x:v>0</x:v>
      </x:c>
      <x:c r="I83" t="n">
        <x:v>0</x:v>
      </x:c>
      <x:c r="J83" s="6" t="n">
        <x:v>0</x:v>
      </x:c>
    </x:row>
    <x:row r="84">
      <x:c r="A84" t="str">
        <x:v>215-55-r17-michelin-primacy-4---94-v</x:v>
      </x:c>
      <x:c r="B84" t="str">
        <x:v>Producto / URL</x:v>
      </x:c>
      <x:c r="C84" t="n">
        <x:v>15</x:v>
      </x:c>
      <x:c r="D84" t="n">
        <x:v>11</x:v>
      </x:c>
      <x:c r="E84" t="n">
        <x:v>0</x:v>
      </x:c>
      <x:c r="F84" t="n">
        <x:v>0</x:v>
      </x:c>
      <x:c r="G84" s="10" t="n">
        <x:v>0</x:v>
      </x:c>
      <x:c r="H84" s="10" t="n">
        <x:v>0</x:v>
      </x:c>
      <x:c r="I84" t="n">
        <x:v>0</x:v>
      </x:c>
      <x:c r="J84" s="6" t="n">
        <x:v>0</x:v>
      </x:c>
    </x:row>
    <x:row r="85">
      <x:c r="A85" t="str">
        <x:v>michelin</x:v>
      </x:c>
      <x:c r="B85" t="str">
        <x:v>Marca</x:v>
      </x:c>
      <x:c r="C85" t="n">
        <x:v>15</x:v>
      </x:c>
      <x:c r="D85" t="n">
        <x:v>9</x:v>
      </x:c>
      <x:c r="E85" t="n">
        <x:v>0</x:v>
      </x:c>
      <x:c r="F85" t="n">
        <x:v>0</x:v>
      </x:c>
      <x:c r="G85" s="10" t="n">
        <x:v>0</x:v>
      </x:c>
      <x:c r="H85" s="10" t="n">
        <x:v>0</x:v>
      </x:c>
      <x:c r="I85" t="n">
        <x:v>0</x:v>
      </x:c>
      <x:c r="J85" s="6" t="n">
        <x:v>0</x:v>
      </x:c>
    </x:row>
    <x:row r="86">
      <x:c r="A86" t="str">
        <x:v>195-55-r16-michelin-primacy-4-87v</x:v>
      </x:c>
      <x:c r="B86" t="str">
        <x:v>Producto / URL</x:v>
      </x:c>
      <x:c r="C86" t="n">
        <x:v>14</x:v>
      </x:c>
      <x:c r="D86" t="n">
        <x:v>13</x:v>
      </x:c>
      <x:c r="E86" t="n">
        <x:v>0</x:v>
      </x:c>
      <x:c r="F86" t="n">
        <x:v>0</x:v>
      </x:c>
      <x:c r="G86" s="10" t="n">
        <x:v>0</x:v>
      </x:c>
      <x:c r="H86" s="10" t="n">
        <x:v>0</x:v>
      </x:c>
      <x:c r="I86" t="n">
        <x:v>0</x:v>
      </x:c>
      <x:c r="J86" s="6" t="n">
        <x:v>0</x:v>
      </x:c>
    </x:row>
    <x:row r="87">
      <x:c r="A87" t="str">
        <x:v>255 70 r17</x:v>
      </x:c>
      <x:c r="B87" t="str">
        <x:v>Medida</x:v>
      </x:c>
      <x:c r="C87" t="n">
        <x:v>14</x:v>
      </x:c>
      <x:c r="D87" t="n">
        <x:v>9</x:v>
      </x:c>
      <x:c r="E87" t="n">
        <x:v>1</x:v>
      </x:c>
      <x:c r="F87" t="n">
        <x:v>1</x:v>
      </x:c>
      <x:c r="G87" s="10" t="n">
        <x:v>0.07139999999999999</x:v>
      </x:c>
      <x:c r="H87" s="10" t="n">
        <x:v>0</x:v>
      </x:c>
      <x:c r="I87" t="n">
        <x:v>0</x:v>
      </x:c>
      <x:c r="J87" s="6" t="n">
        <x:v>0</x:v>
      </x:c>
    </x:row>
    <x:row r="88">
      <x:c r="A88" t="str">
        <x:v>265-70-r16-michelin-x-lt-a-s-112t</x:v>
      </x:c>
      <x:c r="B88" t="str">
        <x:v>Producto / URL</x:v>
      </x:c>
      <x:c r="C88" t="n">
        <x:v>14</x:v>
      </x:c>
      <x:c r="D88" t="n">
        <x:v>11</x:v>
      </x:c>
      <x:c r="E88" t="n">
        <x:v>0</x:v>
      </x:c>
      <x:c r="F88" t="n">
        <x:v>0</x:v>
      </x:c>
      <x:c r="G88" s="10" t="n">
        <x:v>0</x:v>
      </x:c>
      <x:c r="H88" s="10" t="n">
        <x:v>0</x:v>
      </x:c>
      <x:c r="I88" t="n">
        <x:v>0</x:v>
      </x:c>
      <x:c r="J88" s="6" t="n">
        <x:v>0</x:v>
      </x:c>
    </x:row>
    <x:row r="89">
      <x:c r="A89" t="str">
        <x:v>225-55-r18-michelin-primacy-4-98-v</x:v>
      </x:c>
      <x:c r="B89" t="str">
        <x:v>Producto / URL</x:v>
      </x:c>
      <x:c r="C89" t="n">
        <x:v>14</x:v>
      </x:c>
      <x:c r="D89" t="n">
        <x:v>6</x:v>
      </x:c>
      <x:c r="E89" t="n">
        <x:v>0</x:v>
      </x:c>
      <x:c r="F89" t="n">
        <x:v>0</x:v>
      </x:c>
      <x:c r="G89" s="10" t="n">
        <x:v>0</x:v>
      </x:c>
      <x:c r="H89" s="10" t="n">
        <x:v>0</x:v>
      </x:c>
      <x:c r="I89" t="n">
        <x:v>0</x:v>
      </x:c>
      <x:c r="J89" s="6" t="n">
        <x:v>0</x:v>
      </x:c>
    </x:row>
    <x:row r="90">
      <x:c r="A90" t="str">
        <x:v>285-70-r17-bfgoodrich-all-terrain-t-a-ko2-121-118-r</x:v>
      </x:c>
      <x:c r="B90" t="str">
        <x:v>Producto / URL</x:v>
      </x:c>
      <x:c r="C90" t="n">
        <x:v>14</x:v>
      </x:c>
      <x:c r="D90" t="n">
        <x:v>10</x:v>
      </x:c>
      <x:c r="E90" t="n">
        <x:v>0</x:v>
      </x:c>
      <x:c r="F90" t="n">
        <x:v>0</x:v>
      </x:c>
      <x:c r="G90" s="10" t="n">
        <x:v>0</x:v>
      </x:c>
      <x:c r="H90" s="10" t="n">
        <x:v>0</x:v>
      </x:c>
      <x:c r="I90" t="n">
        <x:v>0</x:v>
      </x:c>
      <x:c r="J90" s="6" t="n">
        <x:v>0</x:v>
      </x:c>
    </x:row>
    <x:row r="91">
      <x:c r="A91" t="str">
        <x:v>kit-x2-185-60-r14-mirage-mr-166-82h</x:v>
      </x:c>
      <x:c r="B91" t="str">
        <x:v>Producto / URL</x:v>
      </x:c>
      <x:c r="C91" t="n">
        <x:v>13</x:v>
      </x:c>
      <x:c r="D91" t="n">
        <x:v>2</x:v>
      </x:c>
      <x:c r="E91" t="n">
        <x:v>0</x:v>
      </x:c>
      <x:c r="F91" t="n">
        <x:v>0</x:v>
      </x:c>
      <x:c r="G91" s="10" t="n">
        <x:v>0</x:v>
      </x:c>
      <x:c r="H91" s="10" t="n">
        <x:v>0</x:v>
      </x:c>
      <x:c r="I91" t="n">
        <x:v>0</x:v>
      </x:c>
      <x:c r="J91" s="6" t="n">
        <x:v>0</x:v>
      </x:c>
    </x:row>
    <x:row r="92">
      <x:c r="A92" t="str">
        <x:v>185</x:v>
      </x:c>
      <x:c r="B92" t="str">
        <x:v>Otro</x:v>
      </x:c>
      <x:c r="C92" t="n">
        <x:v>13</x:v>
      </x:c>
      <x:c r="D92" t="n">
        <x:v>10</x:v>
      </x:c>
      <x:c r="E92" t="n">
        <x:v>0</x:v>
      </x:c>
      <x:c r="F92" t="n">
        <x:v>0</x:v>
      </x:c>
      <x:c r="G92" s="10" t="n">
        <x:v>0</x:v>
      </x:c>
      <x:c r="H92" s="10" t="n">
        <x:v>0</x:v>
      </x:c>
      <x:c r="I92" t="n">
        <x:v>0</x:v>
      </x:c>
      <x:c r="J92" s="6" t="n">
        <x:v>0</x:v>
      </x:c>
    </x:row>
    <x:row r="93">
      <x:c r="A93" t="str">
        <x:v>225-75-r16-bfgoodrich-all-terrain-t-a-ko2-115-112s</x:v>
      </x:c>
      <x:c r="B93" t="str">
        <x:v>Producto / URL</x:v>
      </x:c>
      <x:c r="C93" t="n">
        <x:v>13</x:v>
      </x:c>
      <x:c r="D93" t="n">
        <x:v>3</x:v>
      </x:c>
      <x:c r="E93" t="n">
        <x:v>0</x:v>
      </x:c>
      <x:c r="F93" t="n">
        <x:v>0</x:v>
      </x:c>
      <x:c r="G93" s="10" t="n">
        <x:v>0</x:v>
      </x:c>
      <x:c r="H93" s="10" t="n">
        <x:v>0</x:v>
      </x:c>
      <x:c r="I93" t="n">
        <x:v>0</x:v>
      </x:c>
      <x:c r="J93" s="6" t="n">
        <x:v>0</x:v>
      </x:c>
    </x:row>
    <x:row r="94">
      <x:c r="A94" t="str">
        <x:v>bfgoodrich r17</x:v>
      </x:c>
      <x:c r="B94" t="str">
        <x:v>Otro</x:v>
      </x:c>
      <x:c r="C94" t="n">
        <x:v>13</x:v>
      </x:c>
      <x:c r="D94" t="n">
        <x:v>5</x:v>
      </x:c>
      <x:c r="E94" t="n">
        <x:v>2</x:v>
      </x:c>
      <x:c r="F94" t="n">
        <x:v>1</x:v>
      </x:c>
      <x:c r="G94" s="10" t="n">
        <x:v>0.15380000000000002</x:v>
      </x:c>
      <x:c r="H94" s="10" t="n">
        <x:v>0</x:v>
      </x:c>
      <x:c r="I94" t="n">
        <x:v>0</x:v>
      </x:c>
      <x:c r="J94" s="6" t="n">
        <x:v>0</x:v>
      </x:c>
    </x:row>
    <x:row r="95">
      <x:c r="A95" t="str">
        <x:v>285 70 r17</x:v>
      </x:c>
      <x:c r="B95" t="str">
        <x:v>Medida</x:v>
      </x:c>
      <x:c r="C95" t="n">
        <x:v>12</x:v>
      </x:c>
      <x:c r="D95" t="n">
        <x:v>7</x:v>
      </x:c>
      <x:c r="E95" t="n">
        <x:v>8</x:v>
      </x:c>
      <x:c r="F95" t="n">
        <x:v>4</x:v>
      </x:c>
      <x:c r="G95" s="10" t="n">
        <x:v>0.6667000000000001</x:v>
      </x:c>
      <x:c r="H95" s="10" t="n">
        <x:v>0</x:v>
      </x:c>
      <x:c r="I95" t="n">
        <x:v>0</x:v>
      </x:c>
      <x:c r="J95" s="6" t="n">
        <x:v>0</x:v>
      </x:c>
    </x:row>
    <x:row r="96">
      <x:c r="A96" t="str">
        <x:v>r17</x:v>
      </x:c>
      <x:c r="B96" t="str">
        <x:v>Otro</x:v>
      </x:c>
      <x:c r="C96" t="n">
        <x:v>12</x:v>
      </x:c>
      <x:c r="D96" t="n">
        <x:v>5</x:v>
      </x:c>
      <x:c r="E96" t="n">
        <x:v>8</x:v>
      </x:c>
      <x:c r="F96" t="n">
        <x:v>2</x:v>
      </x:c>
      <x:c r="G96" s="10" t="n">
        <x:v>0.6667000000000001</x:v>
      </x:c>
      <x:c r="H96" s="10" t="n">
        <x:v>0</x:v>
      </x:c>
      <x:c r="I96" t="n">
        <x:v>0</x:v>
      </x:c>
      <x:c r="J96" s="6" t="n">
        <x:v>0</x:v>
      </x:c>
    </x:row>
    <x:row r="97">
      <x:c r="A97" t="str">
        <x:v>31x10-50-r15-bfgoodrich-mud-terrain-t-a-km3-109q</x:v>
      </x:c>
      <x:c r="B97" t="str">
        <x:v>Otro</x:v>
      </x:c>
      <x:c r="C97" t="n">
        <x:v>12</x:v>
      </x:c>
      <x:c r="D97" t="n">
        <x:v>11</x:v>
      </x:c>
      <x:c r="E97" t="n">
        <x:v>0</x:v>
      </x:c>
      <x:c r="F97" t="n">
        <x:v>0</x:v>
      </x:c>
      <x:c r="G97" s="10" t="n">
        <x:v>0</x:v>
      </x:c>
      <x:c r="H97" s="10" t="n">
        <x:v>0</x:v>
      </x:c>
      <x:c r="I97" t="n">
        <x:v>0</x:v>
      </x:c>
      <x:c r="J97" s="6" t="n">
        <x:v>0</x:v>
      </x:c>
    </x:row>
    <x:row r="98">
      <x:c r="A98" t="str">
        <x:v>245 65 r17</x:v>
      </x:c>
      <x:c r="B98" t="str">
        <x:v>Medida</x:v>
      </x:c>
      <x:c r="C98" t="n">
        <x:v>12</x:v>
      </x:c>
      <x:c r="D98" t="n">
        <x:v>9</x:v>
      </x:c>
      <x:c r="E98" t="n">
        <x:v>11</x:v>
      </x:c>
      <x:c r="F98" t="n">
        <x:v>5</x:v>
      </x:c>
      <x:c r="G98" s="10" t="n">
        <x:v>0.9167000000000001</x:v>
      </x:c>
      <x:c r="H98" s="10" t="n">
        <x:v>0</x:v>
      </x:c>
      <x:c r="I98" t="n">
        <x:v>0</x:v>
      </x:c>
      <x:c r="J98" s="6" t="n">
        <x:v>0</x:v>
      </x:c>
    </x:row>
    <x:row r="99">
      <x:c r="A99" t="str">
        <x:v>kit</x:v>
      </x:c>
      <x:c r="B99" t="str">
        <x:v>Otro</x:v>
      </x:c>
      <x:c r="C99" t="n">
        <x:v>12</x:v>
      </x:c>
      <x:c r="D99" t="n">
        <x:v>7</x:v>
      </x:c>
      <x:c r="E99" t="n">
        <x:v>2</x:v>
      </x:c>
      <x:c r="F99" t="n">
        <x:v>2</x:v>
      </x:c>
      <x:c r="G99" s="10" t="n">
        <x:v>0.16670000000000001</x:v>
      </x:c>
      <x:c r="H99" s="10" t="n">
        <x:v>0</x:v>
      </x:c>
      <x:c r="I99" t="n">
        <x:v>0</x:v>
      </x:c>
      <x:c r="J99" s="6" t="n">
        <x:v>0</x:v>
      </x:c>
    </x:row>
    <x:row r="100">
      <x:c r="A100" t="str">
        <x:v>225-65-r17-pirelli-xl-scorpion-atr-106-h</x:v>
      </x:c>
      <x:c r="B100" t="str">
        <x:v>Producto / URL</x:v>
      </x:c>
      <x:c r="C100" t="n">
        <x:v>12</x:v>
      </x:c>
      <x:c r="D100" t="n">
        <x:v>8</x:v>
      </x:c>
      <x:c r="E100" t="n">
        <x:v>0</x:v>
      </x:c>
      <x:c r="F100" t="n">
        <x:v>0</x:v>
      </x:c>
      <x:c r="G100" s="10" t="n">
        <x:v>0</x:v>
      </x:c>
      <x:c r="H100" s="10" t="n">
        <x:v>0</x:v>
      </x:c>
      <x:c r="I100" t="n">
        <x:v>0</x:v>
      </x:c>
      <x:c r="J100" s="6" t="n">
        <x:v>0</x:v>
      </x:c>
    </x:row>
    <x:row r="101">
      <x:c r="A101" t="str">
        <x:v>33x12-50-r18-bfgoodrich-mud-terrain-t-a-km3-118q</x:v>
      </x:c>
      <x:c r="B101" t="str">
        <x:v>Otro</x:v>
      </x:c>
      <x:c r="C101" t="n">
        <x:v>12</x:v>
      </x:c>
      <x:c r="D101" t="n">
        <x:v>4</x:v>
      </x:c>
      <x:c r="E101" t="n">
        <x:v>0</x:v>
      </x:c>
      <x:c r="F101" t="n">
        <x:v>0</x:v>
      </x:c>
      <x:c r="G101" s="10" t="n">
        <x:v>0</x:v>
      </x:c>
      <x:c r="H101" s="10" t="n">
        <x:v>0</x:v>
      </x:c>
      <x:c r="I101" t="n">
        <x:v>0</x:v>
      </x:c>
      <x:c r="J101" s="6" t="n">
        <x:v>0</x:v>
      </x:c>
    </x:row>
    <x:row r="102">
      <x:c r="A102" t="str">
        <x:v>255</x:v>
      </x:c>
      <x:c r="B102" t="str">
        <x:v>Otro</x:v>
      </x:c>
      <x:c r="C102" t="n">
        <x:v>12</x:v>
      </x:c>
      <x:c r="D102" t="n">
        <x:v>9</x:v>
      </x:c>
      <x:c r="E102" t="n">
        <x:v>0</x:v>
      </x:c>
      <x:c r="F102" t="n">
        <x:v>0</x:v>
      </x:c>
      <x:c r="G102" s="10" t="n">
        <x:v>0</x:v>
      </x:c>
      <x:c r="H102" s="10" t="n">
        <x:v>0</x:v>
      </x:c>
      <x:c r="I102" t="n">
        <x:v>0</x:v>
      </x:c>
      <x:c r="J102" s="6" t="n">
        <x:v>0</x:v>
      </x:c>
    </x:row>
    <x:row r="103">
      <x:c r="A103" t="str">
        <x:v>195 55 16</x:v>
      </x:c>
      <x:c r="B103" t="str">
        <x:v>Medida</x:v>
      </x:c>
      <x:c r="C103" t="n">
        <x:v>12</x:v>
      </x:c>
      <x:c r="D103" t="n">
        <x:v>9</x:v>
      </x:c>
      <x:c r="E103" t="n">
        <x:v>24</x:v>
      </x:c>
      <x:c r="F103" t="n">
        <x:v>4</x:v>
      </x:c>
      <x:c r="G103" s="10" t="n">
        <x:v>2</x:v>
      </x:c>
      <x:c r="H103" s="10" t="n">
        <x:v>0</x:v>
      </x:c>
      <x:c r="I103" t="n">
        <x:v>0</x:v>
      </x:c>
      <x:c r="J103" s="6" t="n">
        <x:v>0</x:v>
      </x:c>
    </x:row>
    <x:row r="104">
      <x:c r="A104" t="str">
        <x:v>225-55-r17-michelin-primacy-4-101-w</x:v>
      </x:c>
      <x:c r="B104" t="str">
        <x:v>Producto / URL</x:v>
      </x:c>
      <x:c r="C104" t="n">
        <x:v>12</x:v>
      </x:c>
      <x:c r="D104" t="n">
        <x:v>6</x:v>
      </x:c>
      <x:c r="E104" t="n">
        <x:v>0</x:v>
      </x:c>
      <x:c r="F104" t="n">
        <x:v>0</x:v>
      </x:c>
      <x:c r="G104" s="10" t="n">
        <x:v>0</x:v>
      </x:c>
      <x:c r="H104" s="10" t="n">
        <x:v>0</x:v>
      </x:c>
      <x:c r="I104" t="n">
        <x:v>0</x:v>
      </x:c>
      <x:c r="J104" s="6" t="n">
        <x:v>0</x:v>
      </x:c>
    </x:row>
    <x:row r="105">
      <x:c r="A105" t="str">
        <x:v>225-55-r18-michelin-primacy-5-102v</x:v>
      </x:c>
      <x:c r="B105" t="str">
        <x:v>Producto / URL</x:v>
      </x:c>
      <x:c r="C105" t="n">
        <x:v>11</x:v>
      </x:c>
      <x:c r="D105" t="n">
        <x:v>9</x:v>
      </x:c>
      <x:c r="E105" t="n">
        <x:v>0</x:v>
      </x:c>
      <x:c r="F105" t="n">
        <x:v>0</x:v>
      </x:c>
      <x:c r="G105" s="10" t="n">
        <x:v>0</x:v>
      </x:c>
      <x:c r="H105" s="10" t="n">
        <x:v>0</x:v>
      </x:c>
      <x:c r="I105" t="n">
        <x:v>0</x:v>
      </x:c>
      <x:c r="J105" s="6" t="n">
        <x:v>0</x:v>
      </x:c>
    </x:row>
    <x:row r="106">
      <x:c r="A106" t="str">
        <x:v>245</x:v>
      </x:c>
      <x:c r="B106" t="str">
        <x:v>Otro</x:v>
      </x:c>
      <x:c r="C106" t="n">
        <x:v>11</x:v>
      </x:c>
      <x:c r="D106" t="n">
        <x:v>5</x:v>
      </x:c>
      <x:c r="E106" t="n">
        <x:v>0</x:v>
      </x:c>
      <x:c r="F106" t="n">
        <x:v>0</x:v>
      </x:c>
      <x:c r="G106" s="10" t="n">
        <x:v>0</x:v>
      </x:c>
      <x:c r="H106" s="10" t="n">
        <x:v>0</x:v>
      </x:c>
      <x:c r="I106" t="n">
        <x:v>0</x:v>
      </x:c>
      <x:c r="J106" s="6" t="n">
        <x:v>0</x:v>
      </x:c>
    </x:row>
    <x:row r="107">
      <x:c r="A107" t="str">
        <x:v>17</x:v>
      </x:c>
      <x:c r="B107" t="str">
        <x:v>Otro</x:v>
      </x:c>
      <x:c r="C107" t="n">
        <x:v>11</x:v>
      </x:c>
      <x:c r="D107" t="n">
        <x:v>6</x:v>
      </x:c>
      <x:c r="E107" t="n">
        <x:v>9</x:v>
      </x:c>
      <x:c r="F107" t="n">
        <x:v>1</x:v>
      </x:c>
      <x:c r="G107" s="10" t="n">
        <x:v>0.8181999999999999</x:v>
      </x:c>
      <x:c r="H107" s="10" t="n">
        <x:v>0</x:v>
      </x:c>
      <x:c r="I107" t="n">
        <x:v>0</x:v>
      </x:c>
      <x:c r="J107" s="6" t="n">
        <x:v>0</x:v>
      </x:c>
    </x:row>
    <x:row r="108">
      <x:c r="A108" t="str">
        <x:v>michelin ltx force 245</x:v>
      </x:c>
      <x:c r="B108" t="str">
        <x:v>Otro</x:v>
      </x:c>
      <x:c r="C108" t="n">
        <x:v>11</x:v>
      </x:c>
      <x:c r="D108" t="n">
        <x:v>1</x:v>
      </x:c>
      <x:c r="E108" t="n">
        <x:v>1</x:v>
      </x:c>
      <x:c r="F108" t="n">
        <x:v>1</x:v>
      </x:c>
      <x:c r="G108" s="10" t="n">
        <x:v>0.0909</x:v>
      </x:c>
      <x:c r="H108" s="10" t="n">
        <x:v>0</x:v>
      </x:c>
      <x:c r="I108" t="n">
        <x:v>0</x:v>
      </x:c>
      <x:c r="J108" s="6" t="n">
        <x:v>0</x:v>
      </x:c>
    </x:row>
    <x:row r="109">
      <x:c r="A109" t="str">
        <x:v>235-50-r19-michelin-primacy-4-103-v</x:v>
      </x:c>
      <x:c r="B109" t="str">
        <x:v>Producto / URL</x:v>
      </x:c>
      <x:c r="C109" t="n">
        <x:v>11</x:v>
      </x:c>
      <x:c r="D109" t="n">
        <x:v>8</x:v>
      </x:c>
      <x:c r="E109" t="n">
        <x:v>0</x:v>
      </x:c>
      <x:c r="F109" t="n">
        <x:v>0</x:v>
      </x:c>
      <x:c r="G109" s="10" t="n">
        <x:v>0</x:v>
      </x:c>
      <x:c r="H109" s="10" t="n">
        <x:v>0</x:v>
      </x:c>
      <x:c r="I109" t="n">
        <x:v>0</x:v>
      </x:c>
      <x:c r="J109" s="6" t="n">
        <x:v>0</x:v>
      </x:c>
    </x:row>
    <x:row r="110">
      <x:c r="A110" t="str">
        <x:v>215-65-r16-sailun-atrezzo-elite-98-h</x:v>
      </x:c>
      <x:c r="B110" t="str">
        <x:v>Producto / URL</x:v>
      </x:c>
      <x:c r="C110" t="n">
        <x:v>11</x:v>
      </x:c>
      <x:c r="D110" t="n">
        <x:v>8</x:v>
      </x:c>
      <x:c r="E110" t="n">
        <x:v>0</x:v>
      </x:c>
      <x:c r="F110" t="n">
        <x:v>0</x:v>
      </x:c>
      <x:c r="G110" s="10" t="n">
        <x:v>0</x:v>
      </x:c>
      <x:c r="H110" s="10" t="n">
        <x:v>0</x:v>
      </x:c>
      <x:c r="I110" t="n">
        <x:v>0</x:v>
      </x:c>
      <x:c r="J110" s="6" t="n">
        <x:v>0</x:v>
      </x:c>
    </x:row>
    <x:row r="111">
      <x:c r="A111" t="str">
        <x:v>205 65 r15</x:v>
      </x:c>
      <x:c r="B111" t="str">
        <x:v>Medida</x:v>
      </x:c>
      <x:c r="C111" t="n">
        <x:v>11</x:v>
      </x:c>
      <x:c r="D111" t="n">
        <x:v>8</x:v>
      </x:c>
      <x:c r="E111" t="n">
        <x:v>11</x:v>
      </x:c>
      <x:c r="F111" t="n">
        <x:v>4</x:v>
      </x:c>
      <x:c r="G111" s="10" t="n">
        <x:v>1</x:v>
      </x:c>
      <x:c r="H111" s="10" t="n">
        <x:v>0</x:v>
      </x:c>
      <x:c r="I111" t="n">
        <x:v>0</x:v>
      </x:c>
      <x:c r="J111" s="6" t="n">
        <x:v>0</x:v>
      </x:c>
    </x:row>
    <x:row r="112">
      <x:c r="A112" t="str">
        <x:v>16</x:v>
      </x:c>
      <x:c r="B112" t="str">
        <x:v>Otro</x:v>
      </x:c>
      <x:c r="C112" t="n">
        <x:v>11</x:v>
      </x:c>
      <x:c r="D112" t="n">
        <x:v>3</x:v>
      </x:c>
      <x:c r="E112" t="n">
        <x:v>5</x:v>
      </x:c>
      <x:c r="F112" t="n">
        <x:v>1</x:v>
      </x:c>
      <x:c r="G112" s="10" t="n">
        <x:v>0.4545</x:v>
      </x:c>
      <x:c r="H112" s="10" t="n">
        <x:v>0</x:v>
      </x:c>
      <x:c r="I112" t="n">
        <x:v>0</x:v>
      </x:c>
      <x:c r="J112" s="6" t="n">
        <x:v>0</x:v>
      </x:c>
    </x:row>
    <x:row r="113">
      <x:c r="A113" t="str">
        <x:v>185 70 14</x:v>
      </x:c>
      <x:c r="B113" t="str">
        <x:v>Medida</x:v>
      </x:c>
      <x:c r="C113" t="n">
        <x:v>11</x:v>
      </x:c>
      <x:c r="D113" t="n">
        <x:v>6</x:v>
      </x:c>
      <x:c r="E113" t="n">
        <x:v>4</x:v>
      </x:c>
      <x:c r="F113" t="n">
        <x:v>1</x:v>
      </x:c>
      <x:c r="G113" s="10" t="n">
        <x:v>0.3636</x:v>
      </x:c>
      <x:c r="H113" s="10" t="n">
        <x:v>0</x:v>
      </x:c>
      <x:c r="I113" t="n">
        <x:v>0</x:v>
      </x:c>
      <x:c r="J113" s="6" t="n">
        <x:v>0</x:v>
      </x:c>
    </x:row>
    <x:row r="114">
      <x:c r="A114" t="str">
        <x:v>goodyear</x:v>
      </x:c>
      <x:c r="B114" t="str">
        <x:v>Marca</x:v>
      </x:c>
      <x:c r="C114" t="n">
        <x:v>11</x:v>
      </x:c>
      <x:c r="D114" t="n">
        <x:v>2</x:v>
      </x:c>
      <x:c r="E114" t="n">
        <x:v>1</x:v>
      </x:c>
      <x:c r="F114" t="n">
        <x:v>1</x:v>
      </x:c>
      <x:c r="G114" s="10" t="n">
        <x:v>0.0909</x:v>
      </x:c>
      <x:c r="H114" s="10" t="n">
        <x:v>0</x:v>
      </x:c>
      <x:c r="I114" t="n">
        <x:v>0</x:v>
      </x:c>
      <x:c r="J114" s="6" t="n">
        <x:v>0</x:v>
      </x:c>
    </x:row>
    <x:row r="115">
      <x:c r="A115" t="str">
        <x:v>235-40-r18-kumho-ps71-xl-95-y</x:v>
      </x:c>
      <x:c r="B115" t="str">
        <x:v>Producto / URL</x:v>
      </x:c>
      <x:c r="C115" t="n">
        <x:v>11</x:v>
      </x:c>
      <x:c r="D115" t="n">
        <x:v>7</x:v>
      </x:c>
      <x:c r="E115" t="n">
        <x:v>0</x:v>
      </x:c>
      <x:c r="F115" t="n">
        <x:v>0</x:v>
      </x:c>
      <x:c r="G115" s="10" t="n">
        <x:v>0</x:v>
      </x:c>
      <x:c r="H115" s="10" t="n">
        <x:v>0</x:v>
      </x:c>
      <x:c r="I115" t="n">
        <x:v>0</x:v>
      </x:c>
      <x:c r="J115" s="6" t="n">
        <x:v>0</x:v>
      </x:c>
    </x:row>
    <x:row r="116">
      <x:c r="A116" t="str">
        <x:v>r16</x:v>
      </x:c>
      <x:c r="B116" t="str">
        <x:v>Otro</x:v>
      </x:c>
      <x:c r="C116" t="n">
        <x:v>11</x:v>
      </x:c>
      <x:c r="D116" t="n">
        <x:v>4</x:v>
      </x:c>
      <x:c r="E116" t="n">
        <x:v>4</x:v>
      </x:c>
      <x:c r="F116" t="n">
        <x:v>2</x:v>
      </x:c>
      <x:c r="G116" s="10" t="n">
        <x:v>0.3636</x:v>
      </x:c>
      <x:c r="H116" s="10" t="n">
        <x:v>0</x:v>
      </x:c>
      <x:c r="I116" t="n">
        <x:v>0</x:v>
      </x:c>
      <x:c r="J116" s="6" t="n">
        <x:v>0</x:v>
      </x:c>
    </x:row>
    <x:row r="117">
      <x:c r="A117" t="str">
        <x:v>275-60-r20-bfgoodrich-trail-terrain-ta-115-t</x:v>
      </x:c>
      <x:c r="B117" t="str">
        <x:v>Producto / URL</x:v>
      </x:c>
      <x:c r="C117" t="n">
        <x:v>11</x:v>
      </x:c>
      <x:c r="D117" t="n">
        <x:v>10</x:v>
      </x:c>
      <x:c r="E117" t="n">
        <x:v>0</x:v>
      </x:c>
      <x:c r="F117" t="n">
        <x:v>0</x:v>
      </x:c>
      <x:c r="G117" s="10" t="n">
        <x:v>0</x:v>
      </x:c>
      <x:c r="H117" s="10" t="n">
        <x:v>0</x:v>
      </x:c>
      <x:c r="I117" t="n">
        <x:v>0</x:v>
      </x:c>
      <x:c r="J117" s="6" t="n">
        <x:v>0</x:v>
      </x:c>
    </x:row>
    <x:row r="118">
      <x:c r="A118" t="str">
        <x:v>215-60-r17-bfgoodrich-trail-terrain-ta-96-h</x:v>
      </x:c>
      <x:c r="B118" t="str">
        <x:v>Producto / URL</x:v>
      </x:c>
      <x:c r="C118" t="n">
        <x:v>11</x:v>
      </x:c>
      <x:c r="D118" t="n">
        <x:v>3</x:v>
      </x:c>
      <x:c r="E118" t="n">
        <x:v>0</x:v>
      </x:c>
      <x:c r="F118" t="n">
        <x:v>0</x:v>
      </x:c>
      <x:c r="G118" s="10" t="n">
        <x:v>0</x:v>
      </x:c>
      <x:c r="H118" s="10" t="n">
        <x:v>0</x:v>
      </x:c>
      <x:c r="I118" t="n">
        <x:v>0</x:v>
      </x:c>
      <x:c r="J118" s="6" t="n">
        <x:v>0</x:v>
      </x:c>
    </x:row>
    <x:row r="119">
      <x:c r="A119" t="str">
        <x:v>bfgoodrich</x:v>
      </x:c>
      <x:c r="B119" t="str">
        <x:v>Marca</x:v>
      </x:c>
      <x:c r="C119" t="n">
        <x:v>11</x:v>
      </x:c>
      <x:c r="D119" t="n">
        <x:v>5</x:v>
      </x:c>
      <x:c r="E119" t="n">
        <x:v>5</x:v>
      </x:c>
      <x:c r="F119" t="n">
        <x:v>1</x:v>
      </x:c>
      <x:c r="G119" s="10" t="n">
        <x:v>0.4545</x:v>
      </x:c>
      <x:c r="H119" s="10" t="n">
        <x:v>0</x:v>
      </x:c>
      <x:c r="I119" t="n">
        <x:v>0</x:v>
      </x:c>
      <x:c r="J119" s="6" t="n">
        <x:v>0</x:v>
      </x:c>
    </x:row>
    <x:row r="120">
      <x:c r="A120" t="str">
        <x:v>285</x:v>
      </x:c>
      <x:c r="B120" t="str">
        <x:v>Otro</x:v>
      </x:c>
      <x:c r="C120" t="n">
        <x:v>11</x:v>
      </x:c>
      <x:c r="D120" t="n">
        <x:v>8</x:v>
      </x:c>
      <x:c r="E120" t="n">
        <x:v>0</x:v>
      </x:c>
      <x:c r="F120" t="n">
        <x:v>0</x:v>
      </x:c>
      <x:c r="G120" s="10" t="n">
        <x:v>0</x:v>
      </x:c>
      <x:c r="H120" s="10" t="n">
        <x:v>0</x:v>
      </x:c>
      <x:c r="I120" t="n">
        <x:v>0</x:v>
      </x:c>
      <x:c r="J120" s="6" t="n">
        <x:v>0</x:v>
      </x:c>
    </x:row>
    <x:row r="121">
      <x:c r="A121" t="str">
        <x:v>265 60 18 at</x:v>
      </x:c>
      <x:c r="B121" t="str">
        <x:v>Medida</x:v>
      </x:c>
      <x:c r="C121" t="n">
        <x:v>10</x:v>
      </x:c>
      <x:c r="D121" t="n">
        <x:v>3</x:v>
      </x:c>
      <x:c r="E121" t="n">
        <x:v>1</x:v>
      </x:c>
      <x:c r="F121" t="n">
        <x:v>1</x:v>
      </x:c>
      <x:c r="G121" s="10" t="n">
        <x:v>0.1</x:v>
      </x:c>
      <x:c r="H121" s="10" t="n">
        <x:v>0</x:v>
      </x:c>
      <x:c r="I121" t="n">
        <x:v>0</x:v>
      </x:c>
      <x:c r="J121" s="6" t="n">
        <x:v>0</x:v>
      </x:c>
    </x:row>
    <x:row r="122">
      <x:c r="A122" t="str">
        <x:v>215-55-r18-michelin-primacy-4-plus-99-v</x:v>
      </x:c>
      <x:c r="B122" t="str">
        <x:v>Producto / URL</x:v>
      </x:c>
      <x:c r="C122" t="n">
        <x:v>10</x:v>
      </x:c>
      <x:c r="D122" t="n">
        <x:v>8</x:v>
      </x:c>
      <x:c r="E122" t="n">
        <x:v>0</x:v>
      </x:c>
      <x:c r="F122" t="n">
        <x:v>0</x:v>
      </x:c>
      <x:c r="G122" s="10" t="n">
        <x:v>0</x:v>
      </x:c>
      <x:c r="H122" s="10" t="n">
        <x:v>0</x:v>
      </x:c>
      <x:c r="I122" t="n">
        <x:v>0</x:v>
      </x:c>
      <x:c r="J122" s="6" t="n">
        <x:v>0</x:v>
      </x:c>
    </x:row>
    <x:row r="123">
      <x:c r="A123" t="str">
        <x:v>sumaxx</x:v>
      </x:c>
      <x:c r="B123" t="str">
        <x:v>Otro</x:v>
      </x:c>
      <x:c r="C123" t="n">
        <x:v>10</x:v>
      </x:c>
      <x:c r="D123" t="n">
        <x:v>7</x:v>
      </x:c>
      <x:c r="E123" t="n">
        <x:v>2</x:v>
      </x:c>
      <x:c r="F123" t="n">
        <x:v>2</x:v>
      </x:c>
      <x:c r="G123" s="10" t="n">
        <x:v>0.2</x:v>
      </x:c>
      <x:c r="H123" s="10" t="n">
        <x:v>0</x:v>
      </x:c>
      <x:c r="I123" t="n">
        <x:v>0</x:v>
      </x:c>
      <x:c r="J123" s="6" t="n">
        <x:v>0</x:v>
      </x:c>
    </x:row>
    <x:row r="124">
      <x:c r="A124" t="str">
        <x:v>185-65-r14-fate-sentiva-ar-360-86-h</x:v>
      </x:c>
      <x:c r="B124" t="str">
        <x:v>Producto / URL</x:v>
      </x:c>
      <x:c r="C124" t="n">
        <x:v>10</x:v>
      </x:c>
      <x:c r="D124" t="n">
        <x:v>5</x:v>
      </x:c>
      <x:c r="E124" t="n">
        <x:v>0</x:v>
      </x:c>
      <x:c r="F124" t="n">
        <x:v>0</x:v>
      </x:c>
      <x:c r="G124" s="10" t="n">
        <x:v>0</x:v>
      </x:c>
      <x:c r="H124" s="10" t="n">
        <x:v>0</x:v>
      </x:c>
      <x:c r="I124" t="n">
        <x:v>0</x:v>
      </x:c>
      <x:c r="J124" s="6" t="n">
        <x:v>0</x:v>
      </x:c>
    </x:row>
    <x:row r="125">
      <x:c r="A125" t="str">
        <x:v>ko3</x:v>
      </x:c>
      <x:c r="B125" t="str">
        <x:v>Otro</x:v>
      </x:c>
      <x:c r="C125" t="n">
        <x:v>10</x:v>
      </x:c>
      <x:c r="D125" t="n">
        <x:v>8</x:v>
      </x:c>
      <x:c r="E125" t="n">
        <x:v>10</x:v>
      </x:c>
      <x:c r="F125" t="n">
        <x:v>5</x:v>
      </x:c>
      <x:c r="G125" s="10" t="n">
        <x:v>1</x:v>
      </x:c>
      <x:c r="H125" s="10" t="n">
        <x:v>0</x:v>
      </x:c>
      <x:c r="I125" t="n">
        <x:v>0</x:v>
      </x:c>
      <x:c r="J125" s="6" t="n">
        <x:v>0</x:v>
      </x:c>
    </x:row>
    <x:row r="126">
      <x:c r="A126" t="str">
        <x:v>175 65 14</x:v>
      </x:c>
      <x:c r="B126" t="str">
        <x:v>Medida</x:v>
      </x:c>
      <x:c r="C126" t="n">
        <x:v>10</x:v>
      </x:c>
      <x:c r="D126" t="n">
        <x:v>9</x:v>
      </x:c>
      <x:c r="E126" t="n">
        <x:v>9</x:v>
      </x:c>
      <x:c r="F126" t="n">
        <x:v>4</x:v>
      </x:c>
      <x:c r="G126" s="10" t="n">
        <x:v>0.9</x:v>
      </x:c>
      <x:c r="H126" s="10" t="n">
        <x:v>0</x:v>
      </x:c>
      <x:c r="I126" t="n">
        <x:v>0</x:v>
      </x:c>
      <x:c r="J126" s="6" t="n">
        <x:v>0</x:v>
      </x:c>
    </x:row>
    <x:row r="127">
      <x:c r="A127" t="str">
        <x:v>285-70-r17-bfgoodrich-mud-terrain-t-a-km3-121-118q</x:v>
      </x:c>
      <x:c r="B127" t="str">
        <x:v>Producto / URL</x:v>
      </x:c>
      <x:c r="C127" t="n">
        <x:v>10</x:v>
      </x:c>
      <x:c r="D127" t="n">
        <x:v>5</x:v>
      </x:c>
      <x:c r="E127" t="n">
        <x:v>0</x:v>
      </x:c>
      <x:c r="F127" t="n">
        <x:v>0</x:v>
      </x:c>
      <x:c r="G127" s="10" t="n">
        <x:v>0</x:v>
      </x:c>
      <x:c r="H127" s="10" t="n">
        <x:v>0</x:v>
      </x:c>
      <x:c r="I127" t="n">
        <x:v>0</x:v>
      </x:c>
      <x:c r="J127" s="6" t="n">
        <x:v>0</x:v>
      </x:c>
    </x:row>
    <x:row r="128">
      <x:c r="A128" t="str">
        <x:v>235 60 r16</x:v>
      </x:c>
      <x:c r="B128" t="str">
        <x:v>Medida</x:v>
      </x:c>
      <x:c r="C128" t="n">
        <x:v>10</x:v>
      </x:c>
      <x:c r="D128" t="n">
        <x:v>5</x:v>
      </x:c>
      <x:c r="E128" t="n">
        <x:v>5</x:v>
      </x:c>
      <x:c r="F128" t="n">
        <x:v>1</x:v>
      </x:c>
      <x:c r="G128" s="10" t="n">
        <x:v>0.5</x:v>
      </x:c>
      <x:c r="H128" s="10" t="n">
        <x:v>0</x:v>
      </x:c>
      <x:c r="I128" t="n">
        <x:v>0</x:v>
      </x:c>
      <x:c r="J128" s="6" t="n">
        <x:v>0</x:v>
      </x:c>
    </x:row>
    <x:row r="129">
      <x:c r="A129" t="str">
        <x:v>205 45 17</x:v>
      </x:c>
      <x:c r="B129" t="str">
        <x:v>Medida</x:v>
      </x:c>
      <x:c r="C129" t="n">
        <x:v>10</x:v>
      </x:c>
      <x:c r="D129" t="n">
        <x:v>6</x:v>
      </x:c>
      <x:c r="E129" t="n">
        <x:v>6</x:v>
      </x:c>
      <x:c r="F129" t="n">
        <x:v>3</x:v>
      </x:c>
      <x:c r="G129" s="10" t="n">
        <x:v>0.6</x:v>
      </x:c>
      <x:c r="H129" s="10" t="n">
        <x:v>0</x:v>
      </x:c>
      <x:c r="I129" t="n">
        <x:v>0</x:v>
      </x:c>
      <x:c r="J129" s="6" t="n">
        <x:v>0</x:v>
      </x:c>
    </x:row>
    <x:row r="130">
      <x:c r="A130" t="str">
        <x:v>245 70 16</x:v>
      </x:c>
      <x:c r="B130" t="str">
        <x:v>Medida</x:v>
      </x:c>
      <x:c r="C130" t="n">
        <x:v>10</x:v>
      </x:c>
      <x:c r="D130" t="n">
        <x:v>9</x:v>
      </x:c>
      <x:c r="E130" t="n">
        <x:v>5</x:v>
      </x:c>
      <x:c r="F130" t="n">
        <x:v>2</x:v>
      </x:c>
      <x:c r="G130" s="10" t="n">
        <x:v>0.5</x:v>
      </x:c>
      <x:c r="H130" s="10" t="n">
        <x:v>0</x:v>
      </x:c>
      <x:c r="I130" t="n">
        <x:v>0</x:v>
      </x:c>
      <x:c r="J130" s="6" t="n">
        <x:v>0</x:v>
      </x:c>
    </x:row>
    <x:row r="131">
      <x:c r="A131" t="str">
        <x:v>225-45-r17-sailun-atrezzo-zsr-94-w</x:v>
      </x:c>
      <x:c r="B131" t="str">
        <x:v>Producto / URL</x:v>
      </x:c>
      <x:c r="C131" t="n">
        <x:v>10</x:v>
      </x:c>
      <x:c r="D131" t="n">
        <x:v>8</x:v>
      </x:c>
      <x:c r="E131" t="n">
        <x:v>0</x:v>
      </x:c>
      <x:c r="F131" t="n">
        <x:v>0</x:v>
      </x:c>
      <x:c r="G131" s="10" t="n">
        <x:v>0</x:v>
      </x:c>
      <x:c r="H131" s="10" t="n">
        <x:v>0</x:v>
      </x:c>
      <x:c r="I131" t="n">
        <x:v>0</x:v>
      </x:c>
      <x:c r="J131" s="6" t="n">
        <x:v>0</x:v>
      </x:c>
    </x:row>
    <x:row r="132">
      <x:c r="A132" t="str">
        <x:v>ltx force</x:v>
      </x:c>
      <x:c r="B132" t="str">
        <x:v>Otro</x:v>
      </x:c>
      <x:c r="C132" t="n">
        <x:v>10</x:v>
      </x:c>
      <x:c r="D132" t="n">
        <x:v>5</x:v>
      </x:c>
      <x:c r="E132" t="n">
        <x:v>7</x:v>
      </x:c>
      <x:c r="F132" t="n">
        <x:v>2</x:v>
      </x:c>
      <x:c r="G132" s="10" t="n">
        <x:v>0.7</x:v>
      </x:c>
      <x:c r="H132" s="10" t="n">
        <x:v>0</x:v>
      </x:c>
      <x:c r="I132" t="n">
        <x:v>0</x:v>
      </x:c>
      <x:c r="J132" s="6" t="n">
        <x:v>0</x:v>
      </x:c>
    </x:row>
    <x:row r="133">
      <x:c r="A133" t="str">
        <x:v>255-65-r17-bfgoodrich-all-terrain-t-a-ko2-s</x:v>
      </x:c>
      <x:c r="B133" t="str">
        <x:v>Producto / URL</x:v>
      </x:c>
      <x:c r="C133" t="n">
        <x:v>9</x:v>
      </x:c>
      <x:c r="D133" t="n">
        <x:v>7</x:v>
      </x:c>
      <x:c r="E133" t="n">
        <x:v>0</x:v>
      </x:c>
      <x:c r="F133" t="n">
        <x:v>0</x:v>
      </x:c>
      <x:c r="G133" s="10" t="n">
        <x:v>0</x:v>
      </x:c>
      <x:c r="H133" s="10" t="n">
        <x:v>0</x:v>
      </x:c>
      <x:c r="I133" t="n">
        <x:v>0</x:v>
      </x:c>
      <x:c r="J133" s="6" t="n">
        <x:v>0</x:v>
      </x:c>
    </x:row>
    <x:row r="134">
      <x:c r="A134" t="str">
        <x:v>215 65 r16</x:v>
      </x:c>
      <x:c r="B134" t="str">
        <x:v>Medida</x:v>
      </x:c>
      <x:c r="C134" t="n">
        <x:v>9</x:v>
      </x:c>
      <x:c r="D134" t="n">
        <x:v>4</x:v>
      </x:c>
      <x:c r="E134" t="n">
        <x:v>5</x:v>
      </x:c>
      <x:c r="F134" t="n">
        <x:v>2</x:v>
      </x:c>
      <x:c r="G134" s="10" t="n">
        <x:v>0.5556</x:v>
      </x:c>
      <x:c r="H134" s="10" t="n">
        <x:v>0</x:v>
      </x:c>
      <x:c r="I134" t="n">
        <x:v>0</x:v>
      </x:c>
      <x:c r="J134" s="6" t="n">
        <x:v>0</x:v>
      </x:c>
    </x:row>
    <x:row r="135">
      <x:c r="A135" t="str">
        <x:v>90 90 21</x:v>
      </x:c>
      <x:c r="B135" t="str">
        <x:v>Otro</x:v>
      </x:c>
      <x:c r="C135" t="n">
        <x:v>9</x:v>
      </x:c>
      <x:c r="D135" t="n">
        <x:v>7</x:v>
      </x:c>
      <x:c r="E135" t="n">
        <x:v>0</x:v>
      </x:c>
      <x:c r="F135" t="n">
        <x:v>0</x:v>
      </x:c>
      <x:c r="G135" s="10" t="n">
        <x:v>0</x:v>
      </x:c>
      <x:c r="H135" s="10" t="n">
        <x:v>0</x:v>
      </x:c>
      <x:c r="I135" t="n">
        <x:v>0</x:v>
      </x:c>
      <x:c r="J135" s="6" t="n">
        <x:v>0</x:v>
      </x:c>
    </x:row>
    <x:row r="136">
      <x:c r="A136" t="str">
        <x:v>175</x:v>
      </x:c>
      <x:c r="B136" t="str">
        <x:v>Otro</x:v>
      </x:c>
      <x:c r="C136" t="n">
        <x:v>9</x:v>
      </x:c>
      <x:c r="D136" t="n">
        <x:v>6</x:v>
      </x:c>
      <x:c r="E136" t="n">
        <x:v>4</x:v>
      </x:c>
      <x:c r="F136" t="n">
        <x:v>1</x:v>
      </x:c>
      <x:c r="G136" s="10" t="n">
        <x:v>0.44439999999999996</x:v>
      </x:c>
      <x:c r="H136" s="10" t="n">
        <x:v>0</x:v>
      </x:c>
      <x:c r="I136" t="n">
        <x:v>0</x:v>
      </x:c>
      <x:c r="J136" s="6" t="n">
        <x:v>0</x:v>
      </x:c>
    </x:row>
    <x:row r="137">
      <x:c r="A137" t="str">
        <x:v>r13</x:v>
      </x:c>
      <x:c r="B137" t="str">
        <x:v>Otro</x:v>
      </x:c>
      <x:c r="C137" t="n">
        <x:v>9</x:v>
      </x:c>
      <x:c r="D137" t="n">
        <x:v>6</x:v>
      </x:c>
      <x:c r="E137" t="n">
        <x:v>1</x:v>
      </x:c>
      <x:c r="F137" t="n">
        <x:v>1</x:v>
      </x:c>
      <x:c r="G137" s="10" t="n">
        <x:v>0.11109999999999999</x:v>
      </x:c>
      <x:c r="H137" s="10" t="n">
        <x:v>0</x:v>
      </x:c>
      <x:c r="I137" t="n">
        <x:v>0</x:v>
      </x:c>
      <x:c r="J137" s="6" t="n">
        <x:v>0</x:v>
      </x:c>
    </x:row>
    <x:row r="138">
      <x:c r="A138" t="str">
        <x:v>275-60-r15-bfgoodrich-radial-t-a-107s</x:v>
      </x:c>
      <x:c r="B138" t="str">
        <x:v>Producto / URL</x:v>
      </x:c>
      <x:c r="C138" t="n">
        <x:v>9</x:v>
      </x:c>
      <x:c r="D138" t="n">
        <x:v>9</x:v>
      </x:c>
      <x:c r="E138" t="n">
        <x:v>0</x:v>
      </x:c>
      <x:c r="F138" t="n">
        <x:v>0</x:v>
      </x:c>
      <x:c r="G138" s="10" t="n">
        <x:v>0</x:v>
      </x:c>
      <x:c r="H138" s="10" t="n">
        <x:v>0</x:v>
      </x:c>
      <x:c r="I138" t="n">
        <x:v>0</x:v>
      </x:c>
      <x:c r="J138" s="6" t="n">
        <x:v>0</x:v>
      </x:c>
    </x:row>
    <x:row r="139">
      <x:c r="A139" t="str">
        <x:v>215 50 17</x:v>
      </x:c>
      <x:c r="B139" t="str">
        <x:v>Medida</x:v>
      </x:c>
      <x:c r="C139" t="n">
        <x:v>9</x:v>
      </x:c>
      <x:c r="D139" t="n">
        <x:v>6</x:v>
      </x:c>
      <x:c r="E139" t="n">
        <x:v>12</x:v>
      </x:c>
      <x:c r="F139" t="n">
        <x:v>3</x:v>
      </x:c>
      <x:c r="G139" s="10" t="n">
        <x:v>1.3333000000000002</x:v>
      </x:c>
      <x:c r="H139" s="10" t="n">
        <x:v>0</x:v>
      </x:c>
      <x:c r="I139" t="n">
        <x:v>0</x:v>
      </x:c>
      <x:c r="J139" s="6" t="n">
        <x:v>0</x:v>
      </x:c>
    </x:row>
    <x:row r="140">
      <x:c r="A140" t="str">
        <x:v>265-70-r16-bfgoodrich-train</x:v>
      </x:c>
      <x:c r="B140" t="str">
        <x:v>Producto / URL</x:v>
      </x:c>
      <x:c r="C140" t="n">
        <x:v>9</x:v>
      </x:c>
      <x:c r="D140" t="n">
        <x:v>8</x:v>
      </x:c>
      <x:c r="E140" t="n">
        <x:v>0</x:v>
      </x:c>
      <x:c r="F140" t="n">
        <x:v>0</x:v>
      </x:c>
      <x:c r="G140" s="10" t="n">
        <x:v>0</x:v>
      </x:c>
      <x:c r="H140" s="10" t="n">
        <x:v>0</x:v>
      </x:c>
      <x:c r="I140" t="n">
        <x:v>0</x:v>
      </x:c>
      <x:c r="J140" s="6" t="n">
        <x:v>0</x:v>
      </x:c>
    </x:row>
    <x:row r="141">
      <x:c r="A141" t="str">
        <x:v>255-65-r18-bfgoodrich-trail-terrain-ta-111-t</x:v>
      </x:c>
      <x:c r="B141" t="str">
        <x:v>Producto / URL</x:v>
      </x:c>
      <x:c r="C141" t="n">
        <x:v>9</x:v>
      </x:c>
      <x:c r="D141" t="n">
        <x:v>6</x:v>
      </x:c>
      <x:c r="E141" t="n">
        <x:v>0</x:v>
      </x:c>
      <x:c r="F141" t="n">
        <x:v>0</x:v>
      </x:c>
      <x:c r="G141" s="10" t="n">
        <x:v>0</x:v>
      </x:c>
      <x:c r="H141" s="10" t="n">
        <x:v>0</x:v>
      </x:c>
      <x:c r="I141" t="n">
        <x:v>0</x:v>
      </x:c>
      <x:c r="J141" s="6" t="n">
        <x:v>0</x:v>
      </x:c>
    </x:row>
    <x:row r="142">
      <x:c r="A142" t="str">
        <x:v>235-60-r16-kumho-kh27-100-h</x:v>
      </x:c>
      <x:c r="B142" t="str">
        <x:v>Producto / URL</x:v>
      </x:c>
      <x:c r="C142" t="n">
        <x:v>9</x:v>
      </x:c>
      <x:c r="D142" t="n">
        <x:v>6</x:v>
      </x:c>
      <x:c r="E142" t="n">
        <x:v>0</x:v>
      </x:c>
      <x:c r="F142" t="n">
        <x:v>0</x:v>
      </x:c>
      <x:c r="G142" s="10" t="n">
        <x:v>0</x:v>
      </x:c>
      <x:c r="H142" s="10" t="n">
        <x:v>0</x:v>
      </x:c>
      <x:c r="I142" t="n">
        <x:v>0</x:v>
      </x:c>
      <x:c r="J142" s="6" t="n">
        <x:v>0</x:v>
      </x:c>
    </x:row>
    <x:row r="143">
      <x:c r="A143" t="str">
        <x:v>ko2 285 65 18</x:v>
      </x:c>
      <x:c r="B143" t="str">
        <x:v>Medida</x:v>
      </x:c>
      <x:c r="C143" t="n">
        <x:v>9</x:v>
      </x:c>
      <x:c r="D143" t="n">
        <x:v>3</x:v>
      </x:c>
      <x:c r="E143" t="n">
        <x:v>1</x:v>
      </x:c>
      <x:c r="F143" t="n">
        <x:v>1</x:v>
      </x:c>
      <x:c r="G143" s="10" t="n">
        <x:v>0.11109999999999999</x:v>
      </x:c>
      <x:c r="H143" s="10" t="n">
        <x:v>0</x:v>
      </x:c>
      <x:c r="I143" t="n">
        <x:v>0</x:v>
      </x:c>
      <x:c r="J143" s="6" t="n">
        <x:v>0</x:v>
      </x:c>
    </x:row>
    <x:row r="144">
      <x:c r="A144" t="str">
        <x:v>150 60 17</x:v>
      </x:c>
      <x:c r="B144" t="str">
        <x:v>Medida</x:v>
      </x:c>
      <x:c r="C144" t="n">
        <x:v>9</x:v>
      </x:c>
      <x:c r="D144" t="n">
        <x:v>5</x:v>
      </x:c>
      <x:c r="E144" t="n">
        <x:v>9</x:v>
      </x:c>
      <x:c r="F144" t="n">
        <x:v>1</x:v>
      </x:c>
      <x:c r="G144" s="10" t="n">
        <x:v>1</x:v>
      </x:c>
      <x:c r="H144" s="10" t="n">
        <x:v>0</x:v>
      </x:c>
      <x:c r="I144" t="n">
        <x:v>0</x:v>
      </x:c>
      <x:c r="J144" s="6" t="n">
        <x:v>0</x:v>
      </x:c>
    </x:row>
    <x:row r="145">
      <x:c r="A145" t="str">
        <x:v>315-70-r17-bfgoodrich-all-terrain-ko2-113-110-t</x:v>
      </x:c>
      <x:c r="B145" t="str">
        <x:v>Producto / URL</x:v>
      </x:c>
      <x:c r="C145" t="n">
        <x:v>9</x:v>
      </x:c>
      <x:c r="D145" t="n">
        <x:v>6</x:v>
      </x:c>
      <x:c r="E145" t="n">
        <x:v>0</x:v>
      </x:c>
      <x:c r="F145" t="n">
        <x:v>0</x:v>
      </x:c>
      <x:c r="G145" s="10" t="n">
        <x:v>0</x:v>
      </x:c>
      <x:c r="H145" s="10" t="n">
        <x:v>0</x:v>
      </x:c>
      <x:c r="I145" t="n">
        <x:v>0</x:v>
      </x:c>
      <x:c r="J145" s="6" t="n">
        <x:v>0</x:v>
      </x:c>
    </x:row>
    <x:row r="146">
      <x:c r="A146" t="str">
        <x:v>215-65-r16-bfgoodrich-trail-terrain-ta-98-t</x:v>
      </x:c>
      <x:c r="B146" t="str">
        <x:v>Producto / URL</x:v>
      </x:c>
      <x:c r="C146" t="n">
        <x:v>9</x:v>
      </x:c>
      <x:c r="D146" t="n">
        <x:v>8</x:v>
      </x:c>
      <x:c r="E146" t="n">
        <x:v>0</x:v>
      </x:c>
      <x:c r="F146" t="n">
        <x:v>0</x:v>
      </x:c>
      <x:c r="G146" s="10" t="n">
        <x:v>0</x:v>
      </x:c>
      <x:c r="H146" s="10" t="n">
        <x:v>0</x:v>
      </x:c>
      <x:c r="I146" t="n">
        <x:v>0</x:v>
      </x:c>
      <x:c r="J146" s="6" t="n">
        <x:v>0</x:v>
      </x:c>
    </x:row>
    <x:row r="147">
      <x:c r="A147" t="str">
        <x:v>130 70 17</x:v>
      </x:c>
      <x:c r="B147" t="str">
        <x:v>Medida</x:v>
      </x:c>
      <x:c r="C147" t="n">
        <x:v>9</x:v>
      </x:c>
      <x:c r="D147" t="n">
        <x:v>7</x:v>
      </x:c>
      <x:c r="E147" t="n">
        <x:v>4</x:v>
      </x:c>
      <x:c r="F147" t="n">
        <x:v>4</x:v>
      </x:c>
      <x:c r="G147" s="10" t="n">
        <x:v>0.44439999999999996</x:v>
      </x:c>
      <x:c r="H147" s="10" t="n">
        <x:v>0</x:v>
      </x:c>
      <x:c r="I147" t="n">
        <x:v>0</x:v>
      </x:c>
      <x:c r="J147" s="6" t="n">
        <x:v>0</x:v>
      </x:c>
    </x:row>
    <x:row r="148">
      <x:c r="A148" t="str">
        <x:v>205-75-r16-sailun-commercio-vx-110-108-r</x:v>
      </x:c>
      <x:c r="B148" t="str">
        <x:v>Producto / URL</x:v>
      </x:c>
      <x:c r="C148" t="n">
        <x:v>8</x:v>
      </x:c>
      <x:c r="D148" t="n">
        <x:v>4</x:v>
      </x:c>
      <x:c r="E148" t="n">
        <x:v>0</x:v>
      </x:c>
      <x:c r="F148" t="n">
        <x:v>0</x:v>
      </x:c>
      <x:c r="G148" s="10" t="n">
        <x:v>0</x:v>
      </x:c>
      <x:c r="H148" s="10" t="n">
        <x:v>0</x:v>
      </x:c>
      <x:c r="I148" t="n">
        <x:v>0</x:v>
      </x:c>
      <x:c r="J148" s="6" t="n">
        <x:v>0</x:v>
      </x:c>
    </x:row>
    <x:row r="149">
      <x:c r="A149" t="str">
        <x:v>215 65 15</x:v>
      </x:c>
      <x:c r="B149" t="str">
        <x:v>Medida</x:v>
      </x:c>
      <x:c r="C149" t="n">
        <x:v>8</x:v>
      </x:c>
      <x:c r="D149" t="n">
        <x:v>2</x:v>
      </x:c>
      <x:c r="E149" t="n">
        <x:v>0</x:v>
      </x:c>
      <x:c r="F149" t="n">
        <x:v>0</x:v>
      </x:c>
      <x:c r="G149" s="10" t="n">
        <x:v>0</x:v>
      </x:c>
      <x:c r="H149" s="10" t="n">
        <x:v>0</x:v>
      </x:c>
      <x:c r="I149" t="n">
        <x:v>0</x:v>
      </x:c>
      <x:c r="J149" s="6" t="n">
        <x:v>0</x:v>
      </x:c>
    </x:row>
    <x:row r="150">
      <x:c r="A150" t="str">
        <x:v>215-40-r17-michelin-xl-pilot-sport-5--87y-1</x:v>
      </x:c>
      <x:c r="B150" t="str">
        <x:v>Producto / URL</x:v>
      </x:c>
      <x:c r="C150" t="n">
        <x:v>8</x:v>
      </x:c>
      <x:c r="D150" t="n">
        <x:v>7</x:v>
      </x:c>
      <x:c r="E150" t="n">
        <x:v>0</x:v>
      </x:c>
      <x:c r="F150" t="n">
        <x:v>0</x:v>
      </x:c>
      <x:c r="G150" s="10" t="n">
        <x:v>0</x:v>
      </x:c>
      <x:c r="H150" s="10" t="n">
        <x:v>0</x:v>
      </x:c>
      <x:c r="I150" t="n">
        <x:v>0</x:v>
      </x:c>
      <x:c r="J150" s="6" t="n">
        <x:v>0</x:v>
      </x:c>
    </x:row>
    <x:row r="151">
      <x:c r="A151" t="str">
        <x:v>bfgoodrich all</x:v>
      </x:c>
      <x:c r="B151" t="str">
        <x:v>Otro</x:v>
      </x:c>
      <x:c r="C151" t="n">
        <x:v>8</x:v>
      </x:c>
      <x:c r="D151" t="n">
        <x:v>4</x:v>
      </x:c>
      <x:c r="E151" t="n">
        <x:v>12</x:v>
      </x:c>
      <x:c r="F151" t="n">
        <x:v>3</x:v>
      </x:c>
      <x:c r="G151" s="10" t="n">
        <x:v>1.5</x:v>
      </x:c>
      <x:c r="H151" s="10" t="n">
        <x:v>0.3333</x:v>
      </x:c>
      <x:c r="I151" t="n">
        <x:v>1</x:v>
      </x:c>
      <x:c r="J151" s="6" t="n">
        <x:v>929011.2</x:v>
      </x:c>
    </x:row>
    <x:row r="152">
      <x:c r="A152" t="str">
        <x:v>kit-x2-165-70-r13-mirage-mr-166-79t</x:v>
      </x:c>
      <x:c r="B152" t="str">
        <x:v>Producto / URL</x:v>
      </x:c>
      <x:c r="C152" t="n">
        <x:v>8</x:v>
      </x:c>
      <x:c r="D152" t="n">
        <x:v>5</x:v>
      </x:c>
      <x:c r="E152" t="n">
        <x:v>0</x:v>
      </x:c>
      <x:c r="F152" t="n">
        <x:v>0</x:v>
      </x:c>
      <x:c r="G152" s="10" t="n">
        <x:v>0</x:v>
      </x:c>
      <x:c r="H152" s="10" t="n">
        <x:v>0</x:v>
      </x:c>
      <x:c r="I152" t="n">
        <x:v>0</x:v>
      </x:c>
      <x:c r="J152" s="6" t="n">
        <x:v>0</x:v>
      </x:c>
    </x:row>
    <x:row r="153">
      <x:c r="A153" t="str">
        <x:v>205 65 15</x:v>
      </x:c>
      <x:c r="B153" t="str">
        <x:v>Medida</x:v>
      </x:c>
      <x:c r="C153" t="n">
        <x:v>8</x:v>
      </x:c>
      <x:c r="D153" t="n">
        <x:v>8</x:v>
      </x:c>
      <x:c r="E153" t="n">
        <x:v>2</x:v>
      </x:c>
      <x:c r="F153" t="n">
        <x:v>2</x:v>
      </x:c>
      <x:c r="G153" s="10" t="n">
        <x:v>0.25</x:v>
      </x:c>
      <x:c r="H153" s="10" t="n">
        <x:v>0</x:v>
      </x:c>
      <x:c r="I153" t="n">
        <x:v>0</x:v>
      </x:c>
      <x:c r="J153" s="6" t="n">
        <x:v>0</x:v>
      </x:c>
    </x:row>
    <x:row r="154">
      <x:c r="A154" t="str">
        <x:v>225 45 18</x:v>
      </x:c>
      <x:c r="B154" t="str">
        <x:v>Medida</x:v>
      </x:c>
      <x:c r="C154" t="n">
        <x:v>8</x:v>
      </x:c>
      <x:c r="D154" t="n">
        <x:v>6</x:v>
      </x:c>
      <x:c r="E154" t="n">
        <x:v>3</x:v>
      </x:c>
      <x:c r="F154" t="n">
        <x:v>2</x:v>
      </x:c>
      <x:c r="G154" s="10" t="n">
        <x:v>0.375</x:v>
      </x:c>
      <x:c r="H154" s="10" t="n">
        <x:v>0</x:v>
      </x:c>
      <x:c r="I154" t="n">
        <x:v>0</x:v>
      </x:c>
      <x:c r="J154" s="6" t="n">
        <x:v>0</x:v>
      </x:c>
    </x:row>
    <x:row r="155">
      <x:c r="A155" t="str">
        <x:v>255 70 16</x:v>
      </x:c>
      <x:c r="B155" t="str">
        <x:v>Medida</x:v>
      </x:c>
      <x:c r="C155" t="n">
        <x:v>8</x:v>
      </x:c>
      <x:c r="D155" t="n">
        <x:v>6</x:v>
      </x:c>
      <x:c r="E155" t="n">
        <x:v>11</x:v>
      </x:c>
      <x:c r="F155" t="n">
        <x:v>3</x:v>
      </x:c>
      <x:c r="G155" s="10" t="n">
        <x:v>1.375</x:v>
      </x:c>
      <x:c r="H155" s="10" t="n">
        <x:v>0</x:v>
      </x:c>
      <x:c r="I155" t="n">
        <x:v>0</x:v>
      </x:c>
      <x:c r="J155" s="6" t="n">
        <x:v>0</x:v>
      </x:c>
    </x:row>
    <x:row r="156">
      <x:c r="A156" t="str">
        <x:v>255-55-r19-michelin-pilot-sport-4-suv-111v</x:v>
      </x:c>
      <x:c r="B156" t="str">
        <x:v>Producto / URL</x:v>
      </x:c>
      <x:c r="C156" t="n">
        <x:v>8</x:v>
      </x:c>
      <x:c r="D156" t="n">
        <x:v>2</x:v>
      </x:c>
      <x:c r="E156" t="n">
        <x:v>0</x:v>
      </x:c>
      <x:c r="F156" t="n">
        <x:v>0</x:v>
      </x:c>
      <x:c r="G156" s="10" t="n">
        <x:v>0</x:v>
      </x:c>
      <x:c r="H156" s="10" t="n">
        <x:v>0</x:v>
      </x:c>
      <x:c r="I156" t="n">
        <x:v>0</x:v>
      </x:c>
      <x:c r="J156" s="6" t="n">
        <x:v>0</x:v>
      </x:c>
    </x:row>
    <x:row r="157">
      <x:c r="A157" t="str">
        <x:v>primacy</x:v>
      </x:c>
      <x:c r="B157" t="str">
        <x:v>Otro</x:v>
      </x:c>
      <x:c r="C157" t="n">
        <x:v>8</x:v>
      </x:c>
      <x:c r="D157" t="n">
        <x:v>3</x:v>
      </x:c>
      <x:c r="E157" t="n">
        <x:v>1</x:v>
      </x:c>
      <x:c r="F157" t="n">
        <x:v>1</x:v>
      </x:c>
      <x:c r="G157" s="10" t="n">
        <x:v>0.125</x:v>
      </x:c>
      <x:c r="H157" s="10" t="n">
        <x:v>0</x:v>
      </x:c>
      <x:c r="I157" t="n">
        <x:v>0</x:v>
      </x:c>
      <x:c r="J157" s="6" t="n">
        <x:v>0</x:v>
      </x:c>
    </x:row>
    <x:row r="158">
      <x:c r="A158" t="str">
        <x:v>michelin 225</x:v>
      </x:c>
      <x:c r="B158" t="str">
        <x:v>Otro</x:v>
      </x:c>
      <x:c r="C158" t="n">
        <x:v>8</x:v>
      </x:c>
      <x:c r="D158" t="n">
        <x:v>4</x:v>
      </x:c>
      <x:c r="E158" t="n">
        <x:v>8</x:v>
      </x:c>
      <x:c r="F158" t="n">
        <x:v>1</x:v>
      </x:c>
      <x:c r="G158" s="10" t="n">
        <x:v>1</x:v>
      </x:c>
      <x:c r="H158" s="10" t="n">
        <x:v>0</x:v>
      </x:c>
      <x:c r="I158" t="n">
        <x:v>0</x:v>
      </x:c>
      <x:c r="J158" s="6" t="n">
        <x:v>0</x:v>
      </x:c>
    </x:row>
    <x:row r="159">
      <x:c r="A159" t="str">
        <x:v>255 55 19</x:v>
      </x:c>
      <x:c r="B159" t="str">
        <x:v>Medida</x:v>
      </x:c>
      <x:c r="C159" t="n">
        <x:v>8</x:v>
      </x:c>
      <x:c r="D159" t="n">
        <x:v>7</x:v>
      </x:c>
      <x:c r="E159" t="n">
        <x:v>3</x:v>
      </x:c>
      <x:c r="F159" t="n">
        <x:v>3</x:v>
      </x:c>
      <x:c r="G159" s="10" t="n">
        <x:v>0.375</x:v>
      </x:c>
      <x:c r="H159" s="10" t="n">
        <x:v>0</x:v>
      </x:c>
      <x:c r="I159" t="n">
        <x:v>0</x:v>
      </x:c>
      <x:c r="J159" s="6" t="n">
        <x:v>0</x:v>
      </x:c>
    </x:row>
    <x:row r="160">
      <x:c r="A160" t="str">
        <x:v>215-45-r18-michelin-pilot-sport-5-93-y</x:v>
      </x:c>
      <x:c r="B160" t="str">
        <x:v>Producto / URL</x:v>
      </x:c>
      <x:c r="C160" t="n">
        <x:v>8</x:v>
      </x:c>
      <x:c r="D160" t="n">
        <x:v>7</x:v>
      </x:c>
      <x:c r="E160" t="n">
        <x:v>0</x:v>
      </x:c>
      <x:c r="F160" t="n">
        <x:v>0</x:v>
      </x:c>
      <x:c r="G160" s="10" t="n">
        <x:v>0</x:v>
      </x:c>
      <x:c r="H160" s="10" t="n">
        <x:v>0</x:v>
      </x:c>
      <x:c r="I160" t="n">
        <x:v>0</x:v>
      </x:c>
      <x:c r="J160" s="6" t="n">
        <x:v>0</x:v>
      </x:c>
    </x:row>
    <x:row r="161">
      <x:c r="A161" t="str">
        <x:v>michelin primacy</x:v>
      </x:c>
      <x:c r="B161" t="str">
        <x:v>Otro</x:v>
      </x:c>
      <x:c r="C161" t="n">
        <x:v>8</x:v>
      </x:c>
      <x:c r="D161" t="n">
        <x:v>3</x:v>
      </x:c>
      <x:c r="E161" t="n">
        <x:v>2</x:v>
      </x:c>
      <x:c r="F161" t="n">
        <x:v>1</x:v>
      </x:c>
      <x:c r="G161" s="10" t="n">
        <x:v>0.25</x:v>
      </x:c>
      <x:c r="H161" s="10" t="n">
        <x:v>0</x:v>
      </x:c>
      <x:c r="I161" t="n">
        <x:v>0</x:v>
      </x:c>
      <x:c r="J161" s="6" t="n">
        <x:v>0</x:v>
      </x:c>
    </x:row>
    <x:row r="162">
      <x:c r="A162" t="str">
        <x:v>195 50 15</x:v>
      </x:c>
      <x:c r="B162" t="str">
        <x:v>Medida</x:v>
      </x:c>
      <x:c r="C162" t="n">
        <x:v>8</x:v>
      </x:c>
      <x:c r="D162" t="n">
        <x:v>4</x:v>
      </x:c>
      <x:c r="E162" t="n">
        <x:v>1</x:v>
      </x:c>
      <x:c r="F162" t="n">
        <x:v>1</x:v>
      </x:c>
      <x:c r="G162" s="10" t="n">
        <x:v>0.125</x:v>
      </x:c>
      <x:c r="H162" s="10" t="n">
        <x:v>0</x:v>
      </x:c>
      <x:c r="I162" t="n">
        <x:v>0</x:v>
      </x:c>
      <x:c r="J162" s="6" t="n">
        <x:v>0</x:v>
      </x:c>
    </x:row>
    <x:row r="163">
      <x:c r="A163" t="str">
        <x:v>235 70 16</x:v>
      </x:c>
      <x:c r="B163" t="str">
        <x:v>Medida</x:v>
      </x:c>
      <x:c r="C163" t="n">
        <x:v>8</x:v>
      </x:c>
      <x:c r="D163" t="n">
        <x:v>7</x:v>
      </x:c>
      <x:c r="E163" t="n">
        <x:v>3</x:v>
      </x:c>
      <x:c r="F163" t="n">
        <x:v>1</x:v>
      </x:c>
      <x:c r="G163" s="10" t="n">
        <x:v>0.375</x:v>
      </x:c>
      <x:c r="H163" s="10" t="n">
        <x:v>0</x:v>
      </x:c>
      <x:c r="I163" t="n">
        <x:v>0</x:v>
      </x:c>
      <x:c r="J163" s="6" t="n">
        <x:v>0</x:v>
      </x:c>
    </x:row>
    <x:row r="164">
      <x:c r="A164" t="str">
        <x:v>205 60 15</x:v>
      </x:c>
      <x:c r="B164" t="str">
        <x:v>Medida</x:v>
      </x:c>
      <x:c r="C164" t="n">
        <x:v>7</x:v>
      </x:c>
      <x:c r="D164" t="n">
        <x:v>6</x:v>
      </x:c>
      <x:c r="E164" t="n">
        <x:v>1</x:v>
      </x:c>
      <x:c r="F164" t="n">
        <x:v>1</x:v>
      </x:c>
      <x:c r="G164" s="10" t="n">
        <x:v>0.1429</x:v>
      </x:c>
      <x:c r="H164" s="10" t="n">
        <x:v>0</x:v>
      </x:c>
      <x:c r="I164" t="n">
        <x:v>0</x:v>
      </x:c>
      <x:c r="J164" s="6" t="n">
        <x:v>0</x:v>
      </x:c>
    </x:row>
    <x:row r="165">
      <x:c r="A165" t="str">
        <x:v>195 55 15</x:v>
      </x:c>
      <x:c r="B165" t="str">
        <x:v>Medida</x:v>
      </x:c>
      <x:c r="C165" t="n">
        <x:v>7</x:v>
      </x:c>
      <x:c r="D165" t="n">
        <x:v>6</x:v>
      </x:c>
      <x:c r="E165" t="n">
        <x:v>2</x:v>
      </x:c>
      <x:c r="F165" t="n">
        <x:v>1</x:v>
      </x:c>
      <x:c r="G165" s="10" t="n">
        <x:v>0.2857</x:v>
      </x:c>
      <x:c r="H165" s="10" t="n">
        <x:v>0</x:v>
      </x:c>
      <x:c r="I165" t="n">
        <x:v>0</x:v>
      </x:c>
      <x:c r="J165" s="6" t="n">
        <x:v>0</x:v>
      </x:c>
    </x:row>
    <x:row r="166">
      <x:c r="A166" t="str">
        <x:v>205 55 17</x:v>
      </x:c>
      <x:c r="B166" t="str">
        <x:v>Medida</x:v>
      </x:c>
      <x:c r="C166" t="n">
        <x:v>7</x:v>
      </x:c>
      <x:c r="D166" t="n">
        <x:v>6</x:v>
      </x:c>
      <x:c r="E166" t="n">
        <x:v>2</x:v>
      </x:c>
      <x:c r="F166" t="n">
        <x:v>2</x:v>
      </x:c>
      <x:c r="G166" s="10" t="n">
        <x:v>0.2857</x:v>
      </x:c>
      <x:c r="H166" s="10" t="n">
        <x:v>0</x:v>
      </x:c>
      <x:c r="I166" t="n">
        <x:v>0</x:v>
      </x:c>
      <x:c r="J166" s="6" t="n">
        <x:v>0</x:v>
      </x:c>
    </x:row>
    <x:row r="167">
      <x:c r="A167" t="str">
        <x:v>224</x:v>
      </x:c>
      <x:c r="B167" t="str">
        <x:v>Otro</x:v>
      </x:c>
      <x:c r="C167" t="n">
        <x:v>7</x:v>
      </x:c>
      <x:c r="D167" t="n">
        <x:v>6</x:v>
      </x:c>
      <x:c r="E167" t="n">
        <x:v>0</x:v>
      </x:c>
      <x:c r="F167" t="n">
        <x:v>0</x:v>
      </x:c>
      <x:c r="G167" s="10" t="n">
        <x:v>0</x:v>
      </x:c>
      <x:c r="H167" s="10" t="n">
        <x:v>0</x:v>
      </x:c>
      <x:c r="I167" t="n">
        <x:v>0</x:v>
      </x:c>
      <x:c r="J167" s="6" t="n">
        <x:v>0</x:v>
      </x:c>
    </x:row>
    <x:row r="168">
      <x:c r="A168" t="str">
        <x:v>225 65 17</x:v>
      </x:c>
      <x:c r="B168" t="str">
        <x:v>Medida</x:v>
      </x:c>
      <x:c r="C168" t="n">
        <x:v>7</x:v>
      </x:c>
      <x:c r="D168" t="n">
        <x:v>6</x:v>
      </x:c>
      <x:c r="E168" t="n">
        <x:v>0</x:v>
      </x:c>
      <x:c r="F168" t="n">
        <x:v>0</x:v>
      </x:c>
      <x:c r="G168" s="10" t="n">
        <x:v>0</x:v>
      </x:c>
      <x:c r="H168" s="10" t="n">
        <x:v>0</x:v>
      </x:c>
      <x:c r="I168" t="n">
        <x:v>0</x:v>
      </x:c>
      <x:c r="J168" s="6" t="n">
        <x:v>0</x:v>
      </x:c>
    </x:row>
    <x:row r="169">
      <x:c r="A169" t="str">
        <x:v>225-70-r14-bfgoodrich-radial-t-a-98s</x:v>
      </x:c>
      <x:c r="B169" t="str">
        <x:v>Producto / URL</x:v>
      </x:c>
      <x:c r="C169" t="n">
        <x:v>7</x:v>
      </x:c>
      <x:c r="D169" t="n">
        <x:v>5</x:v>
      </x:c>
      <x:c r="E169" t="n">
        <x:v>0</x:v>
      </x:c>
      <x:c r="F169" t="n">
        <x:v>0</x:v>
      </x:c>
      <x:c r="G169" s="10" t="n">
        <x:v>0</x:v>
      </x:c>
      <x:c r="H169" s="10" t="n">
        <x:v>0</x:v>
      </x:c>
      <x:c r="I169" t="n">
        <x:v>0</x:v>
      </x:c>
      <x:c r="J169" s="6" t="n">
        <x:v>0</x:v>
      </x:c>
    </x:row>
    <x:row r="170">
      <x:c r="A170" t="str">
        <x:v>185 65 14</x:v>
      </x:c>
      <x:c r="B170" t="str">
        <x:v>Medida</x:v>
      </x:c>
      <x:c r="C170" t="n">
        <x:v>7</x:v>
      </x:c>
      <x:c r="D170" t="n">
        <x:v>6</x:v>
      </x:c>
      <x:c r="E170" t="n">
        <x:v>13</x:v>
      </x:c>
      <x:c r="F170" t="n">
        <x:v>2</x:v>
      </x:c>
      <x:c r="G170" s="10" t="n">
        <x:v>1.8571</x:v>
      </x:c>
      <x:c r="H170" s="10" t="n">
        <x:v>0</x:v>
      </x:c>
      <x:c r="I170" t="n">
        <x:v>0</x:v>
      </x:c>
      <x:c r="J170" s="6" t="n">
        <x:v>0</x:v>
      </x:c>
    </x:row>
    <x:row r="171">
      <x:c r="A171" t="str">
        <x:v>225-50-r17-michelin-primacy-4-98v</x:v>
      </x:c>
      <x:c r="B171" t="str">
        <x:v>Producto / URL</x:v>
      </x:c>
      <x:c r="C171" t="n">
        <x:v>7</x:v>
      </x:c>
      <x:c r="D171" t="n">
        <x:v>7</x:v>
      </x:c>
      <x:c r="E171" t="n">
        <x:v>0</x:v>
      </x:c>
      <x:c r="F171" t="n">
        <x:v>0</x:v>
      </x:c>
      <x:c r="G171" s="10" t="n">
        <x:v>0</x:v>
      </x:c>
      <x:c r="H171" s="10" t="n">
        <x:v>0</x:v>
      </x:c>
      <x:c r="I171" t="n">
        <x:v>0</x:v>
      </x:c>
      <x:c r="J171" s="6" t="n">
        <x:v>0</x:v>
      </x:c>
    </x:row>
    <x:row r="172">
      <x:c r="A172" t="str">
        <x:v>run flat</x:v>
      </x:c>
      <x:c r="B172" t="str">
        <x:v>Otro</x:v>
      </x:c>
      <x:c r="C172" t="n">
        <x:v>7</x:v>
      </x:c>
      <x:c r="D172" t="n">
        <x:v>2</x:v>
      </x:c>
      <x:c r="E172" t="n">
        <x:v>2</x:v>
      </x:c>
      <x:c r="F172" t="n">
        <x:v>1</x:v>
      </x:c>
      <x:c r="G172" s="10" t="n">
        <x:v>0.2857</x:v>
      </x:c>
      <x:c r="H172" s="10" t="n">
        <x:v>0</x:v>
      </x:c>
      <x:c r="I172" t="n">
        <x:v>0</x:v>
      </x:c>
      <x:c r="J172" s="6" t="n">
        <x:v>0</x:v>
      </x:c>
    </x:row>
    <x:row r="173">
      <x:c r="A173" t="str">
        <x:v>265-75-r16-bfgoodrich-all-terrain-t-a-ko3-123-120-s-1</x:v>
      </x:c>
      <x:c r="B173" t="str">
        <x:v>Producto / URL</x:v>
      </x:c>
      <x:c r="C173" t="n">
        <x:v>7</x:v>
      </x:c>
      <x:c r="D173" t="n">
        <x:v>3</x:v>
      </x:c>
      <x:c r="E173" t="n">
        <x:v>0</x:v>
      </x:c>
      <x:c r="F173" t="n">
        <x:v>0</x:v>
      </x:c>
      <x:c r="G173" s="10" t="n">
        <x:v>0</x:v>
      </x:c>
      <x:c r="H173" s="10" t="n">
        <x:v>0</x:v>
      </x:c>
      <x:c r="I173" t="n">
        <x:v>0</x:v>
      </x:c>
      <x:c r="J173" s="6" t="n">
        <x:v>0</x:v>
      </x:c>
    </x:row>
    <x:row r="174">
      <x:c r="A174" t="str">
        <x:v>65</x:v>
      </x:c>
      <x:c r="B174" t="str">
        <x:v>Otro</x:v>
      </x:c>
      <x:c r="C174" t="n">
        <x:v>7</x:v>
      </x:c>
      <x:c r="D174" t="n">
        <x:v>1</x:v>
      </x:c>
      <x:c r="E174" t="n">
        <x:v>0</x:v>
      </x:c>
      <x:c r="F174" t="n">
        <x:v>0</x:v>
      </x:c>
      <x:c r="G174" s="10" t="n">
        <x:v>0</x:v>
      </x:c>
      <x:c r="H174" s="10" t="n">
        <x:v>0</x:v>
      </x:c>
      <x:c r="I174" t="n">
        <x:v>0</x:v>
      </x:c>
      <x:c r="J174" s="6" t="n">
        <x:v>0</x:v>
      </x:c>
    </x:row>
    <x:row r="175">
      <x:c r="A175" t="str">
        <x:v>235-55-r17-bridgestone-turanza-er30-99-y</x:v>
      </x:c>
      <x:c r="B175" t="str">
        <x:v>Producto / URL</x:v>
      </x:c>
      <x:c r="C175" t="n">
        <x:v>7</x:v>
      </x:c>
      <x:c r="D175" t="n">
        <x:v>1</x:v>
      </x:c>
      <x:c r="E175" t="n">
        <x:v>0</x:v>
      </x:c>
      <x:c r="F175" t="n">
        <x:v>0</x:v>
      </x:c>
      <x:c r="G175" s="10" t="n">
        <x:v>0</x:v>
      </x:c>
      <x:c r="H175" s="10" t="n">
        <x:v>0</x:v>
      </x:c>
      <x:c r="I175" t="n">
        <x:v>0</x:v>
      </x:c>
      <x:c r="J175" s="6" t="n">
        <x:v>0</x:v>
      </x:c>
    </x:row>
    <x:row r="176">
      <x:c r="A176" t="str">
        <x:v>32x11-50-r15-bfgoodrich-all-terrain-t-a-ko2-113r</x:v>
      </x:c>
      <x:c r="B176" t="str">
        <x:v>Otro</x:v>
      </x:c>
      <x:c r="C176" t="n">
        <x:v>7</x:v>
      </x:c>
      <x:c r="D176" t="n">
        <x:v>4</x:v>
      </x:c>
      <x:c r="E176" t="n">
        <x:v>0</x:v>
      </x:c>
      <x:c r="F176" t="n">
        <x:v>0</x:v>
      </x:c>
      <x:c r="G176" s="10" t="n">
        <x:v>0</x:v>
      </x:c>
      <x:c r="H176" s="10" t="n">
        <x:v>0</x:v>
      </x:c>
      <x:c r="I176" t="n">
        <x:v>0</x:v>
      </x:c>
      <x:c r="J176" s="6" t="n">
        <x:v>0</x:v>
      </x:c>
    </x:row>
    <x:row r="177">
      <x:c r="A177" t="str">
        <x:v>215-75-r16c-michelin-agilis-3-116-114r</x:v>
      </x:c>
      <x:c r="B177" t="str">
        <x:v>Medida</x:v>
      </x:c>
      <x:c r="C177" t="n">
        <x:v>7</x:v>
      </x:c>
      <x:c r="D177" t="n">
        <x:v>2</x:v>
      </x:c>
      <x:c r="E177" t="n">
        <x:v>0</x:v>
      </x:c>
      <x:c r="F177" t="n">
        <x:v>0</x:v>
      </x:c>
      <x:c r="G177" s="10" t="n">
        <x:v>0</x:v>
      </x:c>
      <x:c r="H177" s="10" t="n">
        <x:v>0</x:v>
      </x:c>
      <x:c r="I177" t="n">
        <x:v>0</x:v>
      </x:c>
      <x:c r="J177" s="6" t="n">
        <x:v>0</x:v>
      </x:c>
    </x:row>
    <x:row r="178">
      <x:c r="A178" t="str">
        <x:v>kit-x2-205-45-r17-mirage-mr-182-88w</x:v>
      </x:c>
      <x:c r="B178" t="str">
        <x:v>Producto / URL</x:v>
      </x:c>
      <x:c r="C178" t="n">
        <x:v>7</x:v>
      </x:c>
      <x:c r="D178" t="n">
        <x:v>2</x:v>
      </x:c>
      <x:c r="E178" t="n">
        <x:v>0</x:v>
      </x:c>
      <x:c r="F178" t="n">
        <x:v>0</x:v>
      </x:c>
      <x:c r="G178" s="10" t="n">
        <x:v>0</x:v>
      </x:c>
      <x:c r="H178" s="10" t="n">
        <x:v>0</x:v>
      </x:c>
      <x:c r="I178" t="n">
        <x:v>0</x:v>
      </x:c>
      <x:c r="J178" s="6" t="n">
        <x:v>0</x:v>
      </x:c>
    </x:row>
    <x:row r="179">
      <x:c r="A179" t="str">
        <x:v>33 12 50 r15</x:v>
      </x:c>
      <x:c r="B179" t="str">
        <x:v>Otro</x:v>
      </x:c>
      <x:c r="C179" t="n">
        <x:v>7</x:v>
      </x:c>
      <x:c r="D179" t="n">
        <x:v>3</x:v>
      </x:c>
      <x:c r="E179" t="n">
        <x:v>0</x:v>
      </x:c>
      <x:c r="F179" t="n">
        <x:v>0</x:v>
      </x:c>
      <x:c r="G179" s="10" t="n">
        <x:v>0</x:v>
      </x:c>
      <x:c r="H179" s="10" t="n">
        <x:v>0</x:v>
      </x:c>
      <x:c r="I179" t="n">
        <x:v>0</x:v>
      </x:c>
      <x:c r="J179" s="6" t="n">
        <x:v>0</x:v>
      </x:c>
    </x:row>
    <x:row r="180">
      <x:c r="A180" t="str">
        <x:v>235-35-zr19-michelin-pilot-sport-4-s-91-y-</x:v>
      </x:c>
      <x:c r="B180" t="str">
        <x:v>Otro</x:v>
      </x:c>
      <x:c r="C180" t="n">
        <x:v>7</x:v>
      </x:c>
      <x:c r="D180" t="n">
        <x:v>6</x:v>
      </x:c>
      <x:c r="E180" t="n">
        <x:v>0</x:v>
      </x:c>
      <x:c r="F180" t="n">
        <x:v>0</x:v>
      </x:c>
      <x:c r="G180" s="10" t="n">
        <x:v>0</x:v>
      </x:c>
      <x:c r="H180" s="10" t="n">
        <x:v>0</x:v>
      </x:c>
      <x:c r="I180" t="n">
        <x:v>0</x:v>
      </x:c>
      <x:c r="J180" s="6" t="n">
        <x:v>0</x:v>
      </x:c>
    </x:row>
    <x:row r="181">
      <x:c r="A181" t="str">
        <x:v>275 70 16</x:v>
      </x:c>
      <x:c r="B181" t="str">
        <x:v>Medida</x:v>
      </x:c>
      <x:c r="C181" t="n">
        <x:v>7</x:v>
      </x:c>
      <x:c r="D181" t="n">
        <x:v>6</x:v>
      </x:c>
      <x:c r="E181" t="n">
        <x:v>5</x:v>
      </x:c>
      <x:c r="F181" t="n">
        <x:v>2</x:v>
      </x:c>
      <x:c r="G181" s="10" t="n">
        <x:v>0.7143</x:v>
      </x:c>
      <x:c r="H181" s="10" t="n">
        <x:v>0</x:v>
      </x:c>
      <x:c r="I181" t="n">
        <x:v>0</x:v>
      </x:c>
      <x:c r="J181" s="6" t="n">
        <x:v>0</x:v>
      </x:c>
    </x:row>
    <x:row r="182">
      <x:c r="A182" t="str">
        <x:v>225-60-r17-bfgoodrich-trail-terrain-99-h</x:v>
      </x:c>
      <x:c r="B182" t="str">
        <x:v>Producto / URL</x:v>
      </x:c>
      <x:c r="C182" t="n">
        <x:v>7</x:v>
      </x:c>
      <x:c r="D182" t="n">
        <x:v>5</x:v>
      </x:c>
      <x:c r="E182" t="n">
        <x:v>0</x:v>
      </x:c>
      <x:c r="F182" t="n">
        <x:v>0</x:v>
      </x:c>
      <x:c r="G182" s="10" t="n">
        <x:v>0</x:v>
      </x:c>
      <x:c r="H182" s="10" t="n">
        <x:v>0</x:v>
      </x:c>
      <x:c r="I182" t="n">
        <x:v>0</x:v>
      </x:c>
      <x:c r="J182" s="6" t="n">
        <x:v>0</x:v>
      </x:c>
    </x:row>
    <x:row r="183">
      <x:c r="A183" t="str">
        <x:v>265 70 17 ht</x:v>
      </x:c>
      <x:c r="B183" t="str">
        <x:v>Medida</x:v>
      </x:c>
      <x:c r="C183" t="n">
        <x:v>7</x:v>
      </x:c>
      <x:c r="D183" t="n">
        <x:v>2</x:v>
      </x:c>
      <x:c r="E183" t="n">
        <x:v>0</x:v>
      </x:c>
      <x:c r="F183" t="n">
        <x:v>0</x:v>
      </x:c>
      <x:c r="G183" s="10" t="n">
        <x:v>0</x:v>
      </x:c>
      <x:c r="H183" s="10" t="n">
        <x:v>0</x:v>
      </x:c>
      <x:c r="I183" t="n">
        <x:v>0</x:v>
      </x:c>
      <x:c r="J183" s="6" t="n">
        <x:v>0</x:v>
      </x:c>
    </x:row>
    <x:row r="184">
      <x:c r="A184" t="str">
        <x:v>bluearth</x:v>
      </x:c>
      <x:c r="B184" t="str">
        <x:v>Otro</x:v>
      </x:c>
      <x:c r="C184" t="n">
        <x:v>7</x:v>
      </x:c>
      <x:c r="D184" t="n">
        <x:v>6</x:v>
      </x:c>
      <x:c r="E184" t="n">
        <x:v>6</x:v>
      </x:c>
      <x:c r="F184" t="n">
        <x:v>5</x:v>
      </x:c>
      <x:c r="G184" s="10" t="n">
        <x:v>0.8571</x:v>
      </x:c>
      <x:c r="H184" s="10" t="n">
        <x:v>0</x:v>
      </x:c>
      <x:c r="I184" t="n">
        <x:v>0</x:v>
      </x:c>
      <x:c r="J184" s="6" t="n">
        <x:v>0</x:v>
      </x:c>
    </x:row>
    <x:row r="185">
      <x:c r="A185" t="str">
        <x:v>205 70 15</x:v>
      </x:c>
      <x:c r="B185" t="str">
        <x:v>Medida</x:v>
      </x:c>
      <x:c r="C185" t="n">
        <x:v>7</x:v>
      </x:c>
      <x:c r="D185" t="n">
        <x:v>5</x:v>
      </x:c>
      <x:c r="E185" t="n">
        <x:v>0</x:v>
      </x:c>
      <x:c r="F185" t="n">
        <x:v>0</x:v>
      </x:c>
      <x:c r="G185" s="10" t="n">
        <x:v>0</x:v>
      </x:c>
      <x:c r="H185" s="10" t="n">
        <x:v>0</x:v>
      </x:c>
      <x:c r="I185" t="n">
        <x:v>0</x:v>
      </x:c>
      <x:c r="J185" s="6" t="n">
        <x:v>0</x:v>
      </x:c>
    </x:row>
    <x:row r="186">
      <x:c r="A186" t="str">
        <x:v>265 60 18</x:v>
      </x:c>
      <x:c r="B186" t="str">
        <x:v>Medida</x:v>
      </x:c>
      <x:c r="C186" t="n">
        <x:v>7</x:v>
      </x:c>
      <x:c r="D186" t="n">
        <x:v>6</x:v>
      </x:c>
      <x:c r="E186" t="n">
        <x:v>4</x:v>
      </x:c>
      <x:c r="F186" t="n">
        <x:v>1</x:v>
      </x:c>
      <x:c r="G186" s="10" t="n">
        <x:v>0.5714</x:v>
      </x:c>
      <x:c r="H186" s="10" t="n">
        <x:v>0</x:v>
      </x:c>
      <x:c r="I186" t="n">
        <x:v>0</x:v>
      </x:c>
      <x:c r="J186" s="6" t="n">
        <x:v>0</x:v>
      </x:c>
    </x:row>
    <x:row r="187">
      <x:c r="A187" t="str">
        <x:v>bf goodrich</x:v>
      </x:c>
      <x:c r="B187" t="str">
        <x:v>Otro</x:v>
      </x:c>
      <x:c r="C187" t="n">
        <x:v>6</x:v>
      </x:c>
      <x:c r="D187" t="n">
        <x:v>3</x:v>
      </x:c>
      <x:c r="E187" t="n">
        <x:v>0</x:v>
      </x:c>
      <x:c r="F187" t="n">
        <x:v>0</x:v>
      </x:c>
      <x:c r="G187" s="10" t="n">
        <x:v>0</x:v>
      </x:c>
      <x:c r="H187" s="10" t="n">
        <x:v>0</x:v>
      </x:c>
      <x:c r="I187" t="n">
        <x:v>0</x:v>
      </x:c>
      <x:c r="J187" s="6" t="n">
        <x:v>0</x:v>
      </x:c>
    </x:row>
    <x:row r="188">
      <x:c r="A188" t="str">
        <x:v>33x12-50-r15-bfgoodrich-all-terrain-t-a-ko2-108r</x:v>
      </x:c>
      <x:c r="B188" t="str">
        <x:v>Otro</x:v>
      </x:c>
      <x:c r="C188" t="n">
        <x:v>6</x:v>
      </x:c>
      <x:c r="D188" t="n">
        <x:v>6</x:v>
      </x:c>
      <x:c r="E188" t="n">
        <x:v>0</x:v>
      </x:c>
      <x:c r="F188" t="n">
        <x:v>0</x:v>
      </x:c>
      <x:c r="G188" s="10" t="n">
        <x:v>0</x:v>
      </x:c>
      <x:c r="H188" s="10" t="n">
        <x:v>0</x:v>
      </x:c>
      <x:c r="I188" t="n">
        <x:v>0</x:v>
      </x:c>
      <x:c r="J188" s="6" t="n">
        <x:v>0</x:v>
      </x:c>
    </x:row>
    <x:row r="189">
      <x:c r="A189" t="str">
        <x:v>185 55 r15</x:v>
      </x:c>
      <x:c r="B189" t="str">
        <x:v>Medida</x:v>
      </x:c>
      <x:c r="C189" t="n">
        <x:v>6</x:v>
      </x:c>
      <x:c r="D189" t="n">
        <x:v>3</x:v>
      </x:c>
      <x:c r="E189" t="n">
        <x:v>1</x:v>
      </x:c>
      <x:c r="F189" t="n">
        <x:v>1</x:v>
      </x:c>
      <x:c r="G189" s="10" t="n">
        <x:v>0.16670000000000001</x:v>
      </x:c>
      <x:c r="H189" s="10" t="n">
        <x:v>0</x:v>
      </x:c>
      <x:c r="I189" t="n">
        <x:v>0</x:v>
      </x:c>
      <x:c r="J189" s="6" t="n">
        <x:v>0</x:v>
      </x:c>
    </x:row>
    <x:row r="190">
      <x:c r="A190" t="str">
        <x:v>165 70 r13</x:v>
      </x:c>
      <x:c r="B190" t="str">
        <x:v>Medida</x:v>
      </x:c>
      <x:c r="C190" t="n">
        <x:v>6</x:v>
      </x:c>
      <x:c r="D190" t="n">
        <x:v>5</x:v>
      </x:c>
      <x:c r="E190" t="n">
        <x:v>6</x:v>
      </x:c>
      <x:c r="F190" t="n">
        <x:v>2</x:v>
      </x:c>
      <x:c r="G190" s="10" t="n">
        <x:v>1</x:v>
      </x:c>
      <x:c r="H190" s="10" t="n">
        <x:v>0</x:v>
      </x:c>
      <x:c r="I190" t="n">
        <x:v>0</x:v>
      </x:c>
      <x:c r="J190" s="6" t="n">
        <x:v>0</x:v>
      </x:c>
    </x:row>
    <x:row r="191">
      <x:c r="A191" t="str">
        <x:v>275</x:v>
      </x:c>
      <x:c r="B191" t="str">
        <x:v>Otro</x:v>
      </x:c>
      <x:c r="C191" t="n">
        <x:v>6</x:v>
      </x:c>
      <x:c r="D191" t="n">
        <x:v>5</x:v>
      </x:c>
      <x:c r="E191" t="n">
        <x:v>0</x:v>
      </x:c>
      <x:c r="F191" t="n">
        <x:v>0</x:v>
      </x:c>
      <x:c r="G191" s="10" t="n">
        <x:v>0</x:v>
      </x:c>
      <x:c r="H191" s="10" t="n">
        <x:v>0</x:v>
      </x:c>
      <x:c r="I191" t="n">
        <x:v>0</x:v>
      </x:c>
      <x:c r="J191" s="6" t="n">
        <x:v>0</x:v>
      </x:c>
    </x:row>
    <x:row r="192">
      <x:c r="A192" t="str">
        <x:v>257</x:v>
      </x:c>
      <x:c r="B192" t="str">
        <x:v>Otro</x:v>
      </x:c>
      <x:c r="C192" t="n">
        <x:v>6</x:v>
      </x:c>
      <x:c r="D192" t="n">
        <x:v>5</x:v>
      </x:c>
      <x:c r="E192" t="n">
        <x:v>0</x:v>
      </x:c>
      <x:c r="F192" t="n">
        <x:v>0</x:v>
      </x:c>
      <x:c r="G192" s="10" t="n">
        <x:v>0</x:v>
      </x:c>
      <x:c r="H192" s="10" t="n">
        <x:v>0</x:v>
      </x:c>
      <x:c r="I192" t="n">
        <x:v>0</x:v>
      </x:c>
      <x:c r="J192" s="6" t="n">
        <x:v>0</x:v>
      </x:c>
    </x:row>
    <x:row r="193">
      <x:c r="A193" t="str">
        <x:v>215-55-r18-michelin-primacy-4-95v</x:v>
      </x:c>
      <x:c r="B193" t="str">
        <x:v>Producto / URL</x:v>
      </x:c>
      <x:c r="C193" t="n">
        <x:v>6</x:v>
      </x:c>
      <x:c r="D193" t="n">
        <x:v>5</x:v>
      </x:c>
      <x:c r="E193" t="n">
        <x:v>0</x:v>
      </x:c>
      <x:c r="F193" t="n">
        <x:v>0</x:v>
      </x:c>
      <x:c r="G193" s="10" t="n">
        <x:v>0</x:v>
      </x:c>
      <x:c r="H193" s="10" t="n">
        <x:v>0</x:v>
      </x:c>
      <x:c r="I193" t="n">
        <x:v>0</x:v>
      </x:c>
      <x:c r="J193" s="6" t="n">
        <x:v>0</x:v>
      </x:c>
    </x:row>
    <x:row r="194">
      <x:c r="A194" t="str">
        <x:v>205-65-r15-continental-conti-power-contact-2-94-t</x:v>
      </x:c>
      <x:c r="B194" t="str">
        <x:v>Producto / URL</x:v>
      </x:c>
      <x:c r="C194" t="n">
        <x:v>6</x:v>
      </x:c>
      <x:c r="D194" t="n">
        <x:v>5</x:v>
      </x:c>
      <x:c r="E194" t="n">
        <x:v>0</x:v>
      </x:c>
      <x:c r="F194" t="n">
        <x:v>0</x:v>
      </x:c>
      <x:c r="G194" s="10" t="n">
        <x:v>0</x:v>
      </x:c>
      <x:c r="H194" s="10" t="n">
        <x:v>0</x:v>
      </x:c>
      <x:c r="I194" t="n">
        <x:v>0</x:v>
      </x:c>
      <x:c r="J194" s="6" t="n">
        <x:v>0</x:v>
      </x:c>
    </x:row>
    <x:row r="195">
      <x:c r="A195" t="str">
        <x:v>225 70 15</x:v>
      </x:c>
      <x:c r="B195" t="str">
        <x:v>Medida</x:v>
      </x:c>
      <x:c r="C195" t="n">
        <x:v>6</x:v>
      </x:c>
      <x:c r="D195" t="n">
        <x:v>3</x:v>
      </x:c>
      <x:c r="E195" t="n">
        <x:v>3</x:v>
      </x:c>
      <x:c r="F195" t="n">
        <x:v>1</x:v>
      </x:c>
      <x:c r="G195" s="10" t="n">
        <x:v>0.5</x:v>
      </x:c>
      <x:c r="H195" s="10" t="n">
        <x:v>0</x:v>
      </x:c>
      <x:c r="I195" t="n">
        <x:v>0</x:v>
      </x:c>
      <x:c r="J195" s="6" t="n">
        <x:v>0</x:v>
      </x:c>
    </x:row>
    <x:row r="196">
      <x:c r="A196" t="str">
        <x:v>205-60-r16-michelin-primacy-4-plus-92-v</x:v>
      </x:c>
      <x:c r="B196" t="str">
        <x:v>Producto / URL</x:v>
      </x:c>
      <x:c r="C196" t="n">
        <x:v>6</x:v>
      </x:c>
      <x:c r="D196" t="n">
        <x:v>6</x:v>
      </x:c>
      <x:c r="E196" t="n">
        <x:v>0</x:v>
      </x:c>
      <x:c r="F196" t="n">
        <x:v>0</x:v>
      </x:c>
      <x:c r="G196" s="10" t="n">
        <x:v>0</x:v>
      </x:c>
      <x:c r="H196" s="10" t="n">
        <x:v>0</x:v>
      </x:c>
      <x:c r="I196" t="n">
        <x:v>0</x:v>
      </x:c>
      <x:c r="J196" s="6" t="n">
        <x:v>0</x:v>
      </x:c>
    </x:row>
    <x:row r="197">
      <x:c r="A197" t="str">
        <x:v>michelin 225 45 17</x:v>
      </x:c>
      <x:c r="B197" t="str">
        <x:v>Medida</x:v>
      </x:c>
      <x:c r="C197" t="n">
        <x:v>6</x:v>
      </x:c>
      <x:c r="D197" t="n">
        <x:v>6</x:v>
      </x:c>
      <x:c r="E197" t="n">
        <x:v>0</x:v>
      </x:c>
      <x:c r="F197" t="n">
        <x:v>0</x:v>
      </x:c>
      <x:c r="G197" s="10" t="n">
        <x:v>0</x:v>
      </x:c>
      <x:c r="H197" s="10" t="n">
        <x:v>0</x:v>
      </x:c>
      <x:c r="I197" t="n">
        <x:v>0</x:v>
      </x:c>
      <x:c r="J197" s="6" t="n">
        <x:v>0</x:v>
      </x:c>
    </x:row>
    <x:row r="198">
      <x:c r="A198" t="str">
        <x:v>225-65-r17-michelin-primacy-suv-102h</x:v>
      </x:c>
      <x:c r="B198" t="str">
        <x:v>Producto / URL</x:v>
      </x:c>
      <x:c r="C198" t="n">
        <x:v>6</x:v>
      </x:c>
      <x:c r="D198" t="n">
        <x:v>4</x:v>
      </x:c>
      <x:c r="E198" t="n">
        <x:v>0</x:v>
      </x:c>
      <x:c r="F198" t="n">
        <x:v>0</x:v>
      </x:c>
      <x:c r="G198" s="10" t="n">
        <x:v>0</x:v>
      </x:c>
      <x:c r="H198" s="10" t="n">
        <x:v>0</x:v>
      </x:c>
      <x:c r="I198" t="n">
        <x:v>0</x:v>
      </x:c>
      <x:c r="J198" s="6" t="n">
        <x:v>0</x:v>
      </x:c>
    </x:row>
    <x:row r="199">
      <x:c r="A199" t="str">
        <x:v>247</x:v>
      </x:c>
      <x:c r="B199" t="str">
        <x:v>Otro</x:v>
      </x:c>
      <x:c r="C199" t="n">
        <x:v>6</x:v>
      </x:c>
      <x:c r="D199" t="n">
        <x:v>5</x:v>
      </x:c>
      <x:c r="E199" t="n">
        <x:v>0</x:v>
      </x:c>
      <x:c r="F199" t="n">
        <x:v>0</x:v>
      </x:c>
      <x:c r="G199" s="10" t="n">
        <x:v>0</x:v>
      </x:c>
      <x:c r="H199" s="10" t="n">
        <x:v>0</x:v>
      </x:c>
      <x:c r="I199" t="n">
        <x:v>0</x:v>
      </x:c>
      <x:c r="J199" s="6" t="n">
        <x:v>0</x:v>
      </x:c>
    </x:row>
    <x:row r="200">
      <x:c r="A200" t="str">
        <x:v>215 45 16</x:v>
      </x:c>
      <x:c r="B200" t="str">
        <x:v>Medida</x:v>
      </x:c>
      <x:c r="C200" t="n">
        <x:v>6</x:v>
      </x:c>
      <x:c r="D200" t="n">
        <x:v>3</x:v>
      </x:c>
      <x:c r="E200" t="n">
        <x:v>3</x:v>
      </x:c>
      <x:c r="F200" t="n">
        <x:v>1</x:v>
      </x:c>
      <x:c r="G200" s="10" t="n">
        <x:v>0.5</x:v>
      </x:c>
      <x:c r="H200" s="10" t="n">
        <x:v>0</x:v>
      </x:c>
      <x:c r="I200" t="n">
        <x:v>0</x:v>
      </x:c>
      <x:c r="J200" s="6" t="n">
        <x:v>0</x:v>
      </x:c>
    </x:row>
    <x:row r="201">
      <x:c r="A201" t="str">
        <x:v>geolandar</x:v>
      </x:c>
      <x:c r="B201" t="str">
        <x:v>Otro</x:v>
      </x:c>
      <x:c r="C201" t="n">
        <x:v>6</x:v>
      </x:c>
      <x:c r="D201" t="n">
        <x:v>3</x:v>
      </x:c>
      <x:c r="E201" t="n">
        <x:v>3</x:v>
      </x:c>
      <x:c r="F201" t="n">
        <x:v>1</x:v>
      </x:c>
      <x:c r="G201" s="10" t="n">
        <x:v>0.5</x:v>
      </x:c>
      <x:c r="H201" s="10" t="n">
        <x:v>0</x:v>
      </x:c>
      <x:c r="I201" t="n">
        <x:v>0</x:v>
      </x:c>
      <x:c r="J201" s="6" t="n">
        <x:v>0</x:v>
      </x:c>
    </x:row>
    <x:row r="202">
      <x:c r="A202" t="str">
        <x:v>bridgestone</x:v>
      </x:c>
      <x:c r="B202" t="str">
        <x:v>Marca</x:v>
      </x:c>
      <x:c r="C202" t="n">
        <x:v>6</x:v>
      </x:c>
      <x:c r="D202" t="n">
        <x:v>6</x:v>
      </x:c>
      <x:c r="E202" t="n">
        <x:v>7</x:v>
      </x:c>
      <x:c r="F202" t="n">
        <x:v>1</x:v>
      </x:c>
      <x:c r="G202" s="10" t="n">
        <x:v>1.1667</x:v>
      </x:c>
      <x:c r="H202" s="10" t="n">
        <x:v>0</x:v>
      </x:c>
      <x:c r="I202" t="n">
        <x:v>0</x:v>
      </x:c>
      <x:c r="J202" s="6" t="n">
        <x:v>0</x:v>
      </x:c>
    </x:row>
    <x:row r="203">
      <x:c r="A203" t="str">
        <x:v>235 75 15</x:v>
      </x:c>
      <x:c r="B203" t="str">
        <x:v>Medida</x:v>
      </x:c>
      <x:c r="C203" t="n">
        <x:v>6</x:v>
      </x:c>
      <x:c r="D203" t="n">
        <x:v>3</x:v>
      </x:c>
      <x:c r="E203" t="n">
        <x:v>9</x:v>
      </x:c>
      <x:c r="F203" t="n">
        <x:v>1</x:v>
      </x:c>
      <x:c r="G203" s="10" t="n">
        <x:v>1.5</x:v>
      </x:c>
      <x:c r="H203" s="10" t="n">
        <x:v>0</x:v>
      </x:c>
      <x:c r="I203" t="n">
        <x:v>0</x:v>
      </x:c>
      <x:c r="J203" s="6" t="n">
        <x:v>0</x:v>
      </x:c>
    </x:row>
    <x:row r="204">
      <x:c r="A204" t="str">
        <x:v>195 60 15</x:v>
      </x:c>
      <x:c r="B204" t="str">
        <x:v>Medida</x:v>
      </x:c>
      <x:c r="C204" t="n">
        <x:v>6</x:v>
      </x:c>
      <x:c r="D204" t="n">
        <x:v>5</x:v>
      </x:c>
      <x:c r="E204" t="n">
        <x:v>1</x:v>
      </x:c>
      <x:c r="F204" t="n">
        <x:v>1</x:v>
      </x:c>
      <x:c r="G204" s="10" t="n">
        <x:v>0.16670000000000001</x:v>
      </x:c>
      <x:c r="H204" s="10" t="n">
        <x:v>0</x:v>
      </x:c>
      <x:c r="I204" t="n">
        <x:v>0</x:v>
      </x:c>
      <x:c r="J204" s="6" t="n">
        <x:v>0</x:v>
      </x:c>
    </x:row>
    <x:row r="205">
      <x:c r="A205" t="str">
        <x:v>150 70 17</x:v>
      </x:c>
      <x:c r="B205" t="str">
        <x:v>Medida</x:v>
      </x:c>
      <x:c r="C205" t="n">
        <x:v>6</x:v>
      </x:c>
      <x:c r="D205" t="n">
        <x:v>4</x:v>
      </x:c>
      <x:c r="E205" t="n">
        <x:v>1</x:v>
      </x:c>
      <x:c r="F205" t="n">
        <x:v>1</x:v>
      </x:c>
      <x:c r="G205" s="10" t="n">
        <x:v>0.16670000000000001</x:v>
      </x:c>
      <x:c r="H205" s="10" t="n">
        <x:v>0</x:v>
      </x:c>
      <x:c r="I205" t="n">
        <x:v>0</x:v>
      </x:c>
      <x:c r="J205" s="6" t="n">
        <x:v>0</x:v>
      </x:c>
    </x:row>
    <x:row r="206">
      <x:c r="A206" t="str">
        <x:v>225-45-r17-michelin-primacy-4-plus-94w</x:v>
      </x:c>
      <x:c r="B206" t="str">
        <x:v>Producto / URL</x:v>
      </x:c>
      <x:c r="C206" t="n">
        <x:v>6</x:v>
      </x:c>
      <x:c r="D206" t="n">
        <x:v>6</x:v>
      </x:c>
      <x:c r="E206" t="n">
        <x:v>0</x:v>
      </x:c>
      <x:c r="F206" t="n">
        <x:v>0</x:v>
      </x:c>
      <x:c r="G206" s="10" t="n">
        <x:v>0</x:v>
      </x:c>
      <x:c r="H206" s="10" t="n">
        <x:v>0</x:v>
      </x:c>
      <x:c r="I206" t="n">
        <x:v>0</x:v>
      </x:c>
      <x:c r="J206" s="6" t="n">
        <x:v>0</x:v>
      </x:c>
    </x:row>
    <x:row r="207">
      <x:c r="A207" t="str">
        <x:v>265 70 r16</x:v>
      </x:c>
      <x:c r="B207" t="str">
        <x:v>Medida</x:v>
      </x:c>
      <x:c r="C207" t="n">
        <x:v>6</x:v>
      </x:c>
      <x:c r="D207" t="n">
        <x:v>6</x:v>
      </x:c>
      <x:c r="E207" t="n">
        <x:v>0</x:v>
      </x:c>
      <x:c r="F207" t="n">
        <x:v>0</x:v>
      </x:c>
      <x:c r="G207" s="10" t="n">
        <x:v>0</x:v>
      </x:c>
      <x:c r="H207" s="10" t="n">
        <x:v>0</x:v>
      </x:c>
      <x:c r="I207" t="n">
        <x:v>0</x:v>
      </x:c>
      <x:c r="J207" s="6" t="n">
        <x:v>0</x:v>
      </x:c>
    </x:row>
    <x:row r="208">
      <x:c r="A208" t="str">
        <x:v>185 65 15</x:v>
      </x:c>
      <x:c r="B208" t="str">
        <x:v>Medida</x:v>
      </x:c>
      <x:c r="C208" t="n">
        <x:v>6</x:v>
      </x:c>
      <x:c r="D208" t="n">
        <x:v>5</x:v>
      </x:c>
      <x:c r="E208" t="n">
        <x:v>0</x:v>
      </x:c>
      <x:c r="F208" t="n">
        <x:v>0</x:v>
      </x:c>
      <x:c r="G208" s="10" t="n">
        <x:v>0</x:v>
      </x:c>
      <x:c r="H208" s="10" t="n">
        <x:v>0</x:v>
      </x:c>
      <x:c r="I208" t="n">
        <x:v>0</x:v>
      </x:c>
      <x:c r="J208" s="6" t="n">
        <x:v>0</x:v>
      </x:c>
    </x:row>
    <x:row r="209">
      <x:c r="A209" t="str">
        <x:v>120</x:v>
      </x:c>
      <x:c r="B209" t="str">
        <x:v>Otro</x:v>
      </x:c>
      <x:c r="C209" t="n">
        <x:v>6</x:v>
      </x:c>
      <x:c r="D209" t="n">
        <x:v>2</x:v>
      </x:c>
      <x:c r="E209" t="n">
        <x:v>0</x:v>
      </x:c>
      <x:c r="F209" t="n">
        <x:v>0</x:v>
      </x:c>
      <x:c r="G209" s="10" t="n">
        <x:v>0</x:v>
      </x:c>
      <x:c r="H209" s="10" t="n">
        <x:v>0</x:v>
      </x:c>
      <x:c r="I209" t="n">
        <x:v>0</x:v>
      </x:c>
      <x:c r="J209" s="6" t="n">
        <x:v>0</x:v>
      </x:c>
    </x:row>
    <x:row r="210">
      <x:c r="A210" t="str">
        <x:v>225 55 18</x:v>
      </x:c>
      <x:c r="B210" t="str">
        <x:v>Medida</x:v>
      </x:c>
      <x:c r="C210" t="n">
        <x:v>5</x:v>
      </x:c>
      <x:c r="D210" t="n">
        <x:v>3</x:v>
      </x:c>
      <x:c r="E210" t="n">
        <x:v>5</x:v>
      </x:c>
      <x:c r="F210" t="n">
        <x:v>2</x:v>
      </x:c>
      <x:c r="G210" s="10" t="n">
        <x:v>1</x:v>
      </x:c>
      <x:c r="H210" s="10" t="n">
        <x:v>0</x:v>
      </x:c>
      <x:c r="I210" t="n">
        <x:v>0</x:v>
      </x:c>
      <x:c r="J210" s="6" t="n">
        <x:v>0</x:v>
      </x:c>
    </x:row>
    <x:row r="211">
      <x:c r="A211" t="str">
        <x:v>235 45 r17</x:v>
      </x:c>
      <x:c r="B211" t="str">
        <x:v>Medida</x:v>
      </x:c>
      <x:c r="C211" t="n">
        <x:v>5</x:v>
      </x:c>
      <x:c r="D211" t="n">
        <x:v>3</x:v>
      </x:c>
      <x:c r="E211" t="n">
        <x:v>2</x:v>
      </x:c>
      <x:c r="F211" t="n">
        <x:v>1</x:v>
      </x:c>
      <x:c r="G211" s="10" t="n">
        <x:v>0.4</x:v>
      </x:c>
      <x:c r="H211" s="10" t="n">
        <x:v>0</x:v>
      </x:c>
      <x:c r="I211" t="n">
        <x:v>0</x:v>
      </x:c>
      <x:c r="J211" s="6" t="n">
        <x:v>0</x:v>
      </x:c>
    </x:row>
    <x:row r="212">
      <x:c r="A212" t="str">
        <x:v>205-60-r16-michelin-ltx-force-92h</x:v>
      </x:c>
      <x:c r="B212" t="str">
        <x:v>Producto / URL</x:v>
      </x:c>
      <x:c r="C212" t="n">
        <x:v>5</x:v>
      </x:c>
      <x:c r="D212" t="n">
        <x:v>5</x:v>
      </x:c>
      <x:c r="E212" t="n">
        <x:v>0</x:v>
      </x:c>
      <x:c r="F212" t="n">
        <x:v>0</x:v>
      </x:c>
      <x:c r="G212" s="10" t="n">
        <x:v>0</x:v>
      </x:c>
      <x:c r="H212" s="10" t="n">
        <x:v>0</x:v>
      </x:c>
      <x:c r="I212" t="n">
        <x:v>0</x:v>
      </x:c>
      <x:c r="J212" s="6" t="n">
        <x:v>0</x:v>
      </x:c>
    </x:row>
    <x:row r="213">
      <x:c r="A213" t="str">
        <x:v>235-75-r15-michelin-ltx-force-105t</x:v>
      </x:c>
      <x:c r="B213" t="str">
        <x:v>Producto / URL</x:v>
      </x:c>
      <x:c r="C213" t="n">
        <x:v>5</x:v>
      </x:c>
      <x:c r="D213" t="n">
        <x:v>3</x:v>
      </x:c>
      <x:c r="E213" t="n">
        <x:v>0</x:v>
      </x:c>
      <x:c r="F213" t="n">
        <x:v>0</x:v>
      </x:c>
      <x:c r="G213" s="10" t="n">
        <x:v>0</x:v>
      </x:c>
      <x:c r="H213" s="10" t="n">
        <x:v>0</x:v>
      </x:c>
      <x:c r="I213" t="n">
        <x:v>0</x:v>
      </x:c>
      <x:c r="J213" s="6" t="n">
        <x:v>0</x:v>
      </x:c>
    </x:row>
    <x:row r="214">
      <x:c r="A214" t="str">
        <x:v>120 70 17</x:v>
      </x:c>
      <x:c r="B214" t="str">
        <x:v>Medida</x:v>
      </x:c>
      <x:c r="C214" t="n">
        <x:v>5</x:v>
      </x:c>
      <x:c r="D214" t="n">
        <x:v>3</x:v>
      </x:c>
      <x:c r="E214" t="n">
        <x:v>0</x:v>
      </x:c>
      <x:c r="F214" t="n">
        <x:v>0</x:v>
      </x:c>
      <x:c r="G214" s="10" t="n">
        <x:v>0</x:v>
      </x:c>
      <x:c r="H214" s="10" t="n">
        <x:v>0</x:v>
      </x:c>
      <x:c r="I214" t="n">
        <x:v>0</x:v>
      </x:c>
      <x:c r="J214" s="6" t="n">
        <x:v>0</x:v>
      </x:c>
    </x:row>
    <x:row r="215">
      <x:c r="A215" t="str">
        <x:v>neumáticos 175 70 r13</x:v>
      </x:c>
      <x:c r="B215" t="str">
        <x:v>Medida</x:v>
      </x:c>
      <x:c r="C215" t="n">
        <x:v>5</x:v>
      </x:c>
      <x:c r="D215" t="n">
        <x:v>5</x:v>
      </x:c>
      <x:c r="E215" t="n">
        <x:v>0</x:v>
      </x:c>
      <x:c r="F215" t="n">
        <x:v>0</x:v>
      </x:c>
      <x:c r="G215" s="10" t="n">
        <x:v>0</x:v>
      </x:c>
      <x:c r="H215" s="10" t="n">
        <x:v>0</x:v>
      </x:c>
      <x:c r="I215" t="n">
        <x:v>0</x:v>
      </x:c>
      <x:c r="J215" s="6" t="n">
        <x:v>0</x:v>
      </x:c>
    </x:row>
    <x:row r="216">
      <x:c r="A216" t="str">
        <x:v>255 45 r19</x:v>
      </x:c>
      <x:c r="B216" t="str">
        <x:v>Medida</x:v>
      </x:c>
      <x:c r="C216" t="n">
        <x:v>5</x:v>
      </x:c>
      <x:c r="D216" t="n">
        <x:v>2</x:v>
      </x:c>
      <x:c r="E216" t="n">
        <x:v>0</x:v>
      </x:c>
      <x:c r="F216" t="n">
        <x:v>0</x:v>
      </x:c>
      <x:c r="G216" s="10" t="n">
        <x:v>0</x:v>
      </x:c>
      <x:c r="H216" s="10" t="n">
        <x:v>0</x:v>
      </x:c>
      <x:c r="I216" t="n">
        <x:v>0</x:v>
      </x:c>
      <x:c r="J216" s="6" t="n">
        <x:v>0</x:v>
      </x:c>
    </x:row>
    <x:row r="217">
      <x:c r="A217" t="str">
        <x:v>215 75 14</x:v>
      </x:c>
      <x:c r="B217" t="str">
        <x:v>Medida</x:v>
      </x:c>
      <x:c r="C217" t="n">
        <x:v>5</x:v>
      </x:c>
      <x:c r="D217" t="n">
        <x:v>1</x:v>
      </x:c>
      <x:c r="E217" t="n">
        <x:v>0</x:v>
      </x:c>
      <x:c r="F217" t="n">
        <x:v>0</x:v>
      </x:c>
      <x:c r="G217" s="10" t="n">
        <x:v>0</x:v>
      </x:c>
      <x:c r="H217" s="10" t="n">
        <x:v>0</x:v>
      </x:c>
      <x:c r="I217" t="n">
        <x:v>0</x:v>
      </x:c>
      <x:c r="J217" s="6" t="n">
        <x:v>0</x:v>
      </x:c>
    </x:row>
    <x:row r="218">
      <x:c r="A218" t="str">
        <x:v>285-35-zr20-michelin-pilot-sport-4-s-bmw-104-y-</x:v>
      </x:c>
      <x:c r="B218" t="str">
        <x:v>Otro</x:v>
      </x:c>
      <x:c r="C218" t="n">
        <x:v>5</x:v>
      </x:c>
      <x:c r="D218" t="n">
        <x:v>5</x:v>
      </x:c>
      <x:c r="E218" t="n">
        <x:v>0</x:v>
      </x:c>
      <x:c r="F218" t="n">
        <x:v>0</x:v>
      </x:c>
      <x:c r="G218" s="10" t="n">
        <x:v>0</x:v>
      </x:c>
      <x:c r="H218" s="10" t="n">
        <x:v>0</x:v>
      </x:c>
      <x:c r="I218" t="n">
        <x:v>0</x:v>
      </x:c>
      <x:c r="J218" s="6" t="n">
        <x:v>0</x:v>
      </x:c>
    </x:row>
    <x:row r="219">
      <x:c r="A219" t="str">
        <x:v>neumaticos pirelli 185 65 14</x:v>
      </x:c>
      <x:c r="B219" t="str">
        <x:v>Medida</x:v>
      </x:c>
      <x:c r="C219" t="n">
        <x:v>5</x:v>
      </x:c>
      <x:c r="D219" t="n">
        <x:v>1</x:v>
      </x:c>
      <x:c r="E219" t="n">
        <x:v>0</x:v>
      </x:c>
      <x:c r="F219" t="n">
        <x:v>0</x:v>
      </x:c>
      <x:c r="G219" s="10" t="n">
        <x:v>0</x:v>
      </x:c>
      <x:c r="H219" s="10" t="n">
        <x:v>0</x:v>
      </x:c>
      <x:c r="I219" t="n">
        <x:v>0</x:v>
      </x:c>
      <x:c r="J219" s="6" t="n">
        <x:v>0</x:v>
      </x:c>
    </x:row>
    <x:row r="220">
      <x:c r="A220" t="str">
        <x:v>bfgoodrich trail terrain</x:v>
      </x:c>
      <x:c r="B220" t="str">
        <x:v>Otro</x:v>
      </x:c>
      <x:c r="C220" t="n">
        <x:v>5</x:v>
      </x:c>
      <x:c r="D220" t="n">
        <x:v>4</x:v>
      </x:c>
      <x:c r="E220" t="n">
        <x:v>1</x:v>
      </x:c>
      <x:c r="F220" t="n">
        <x:v>1</x:v>
      </x:c>
      <x:c r="G220" s="10" t="n">
        <x:v>0.2</x:v>
      </x:c>
      <x:c r="H220" s="10" t="n">
        <x:v>0</x:v>
      </x:c>
      <x:c r="I220" t="n">
        <x:v>0</x:v>
      </x:c>
      <x:c r="J220" s="6" t="n">
        <x:v>0</x:v>
      </x:c>
    </x:row>
    <x:row r="221">
      <x:c r="A221" t="str">
        <x:v>35x12-50-r18-bfgoodrich-all-terrain-t-a-ko2-118r</x:v>
      </x:c>
      <x:c r="B221" t="str">
        <x:v>Otro</x:v>
      </x:c>
      <x:c r="C221" t="n">
        <x:v>5</x:v>
      </x:c>
      <x:c r="D221" t="n">
        <x:v>4</x:v>
      </x:c>
      <x:c r="E221" t="n">
        <x:v>0</x:v>
      </x:c>
      <x:c r="F221" t="n">
        <x:v>0</x:v>
      </x:c>
      <x:c r="G221" s="10" t="n">
        <x:v>0</x:v>
      </x:c>
      <x:c r="H221" s="10" t="n">
        <x:v>0</x:v>
      </x:c>
      <x:c r="I221" t="n">
        <x:v>0</x:v>
      </x:c>
      <x:c r="J221" s="6" t="n">
        <x:v>0</x:v>
      </x:c>
    </x:row>
    <x:row r="222">
      <x:c r="A222" t="str">
        <x:v>225-40-zr18-michelin-pilot-sport-cup-2-connect-92y</x:v>
      </x:c>
      <x:c r="B222" t="str">
        <x:v>Otro</x:v>
      </x:c>
      <x:c r="C222" t="n">
        <x:v>5</x:v>
      </x:c>
      <x:c r="D222" t="n">
        <x:v>5</x:v>
      </x:c>
      <x:c r="E222" t="n">
        <x:v>0</x:v>
      </x:c>
      <x:c r="F222" t="n">
        <x:v>0</x:v>
      </x:c>
      <x:c r="G222" s="10" t="n">
        <x:v>0</x:v>
      </x:c>
      <x:c r="H222" s="10" t="n">
        <x:v>0</x:v>
      </x:c>
      <x:c r="I222" t="n">
        <x:v>0</x:v>
      </x:c>
      <x:c r="J222" s="6" t="n">
        <x:v>0</x:v>
      </x:c>
    </x:row>
    <x:row r="223">
      <x:c r="A223" t="str">
        <x:v>continental</x:v>
      </x:c>
      <x:c r="B223" t="str">
        <x:v>Marca</x:v>
      </x:c>
      <x:c r="C223" t="n">
        <x:v>5</x:v>
      </x:c>
      <x:c r="D223" t="n">
        <x:v>4</x:v>
      </x:c>
      <x:c r="E223" t="n">
        <x:v>3</x:v>
      </x:c>
      <x:c r="F223" t="n">
        <x:v>3</x:v>
      </x:c>
      <x:c r="G223" s="10" t="n">
        <x:v>0.6</x:v>
      </x:c>
      <x:c r="H223" s="10" t="n">
        <x:v>0</x:v>
      </x:c>
      <x:c r="I223" t="n">
        <x:v>0</x:v>
      </x:c>
      <x:c r="J223" s="6" t="n">
        <x:v>0</x:v>
      </x:c>
    </x:row>
    <x:row r="224">
      <x:c r="A224" t="str">
        <x:v>997246</x:v>
      </x:c>
      <x:c r="B224" t="str">
        <x:v>Otro</x:v>
      </x:c>
      <x:c r="C224" t="n">
        <x:v>5</x:v>
      </x:c>
      <x:c r="D224" t="n">
        <x:v>4</x:v>
      </x:c>
      <x:c r="E224" t="n">
        <x:v>9</x:v>
      </x:c>
      <x:c r="F224" t="n">
        <x:v>1</x:v>
      </x:c>
      <x:c r="G224" s="10" t="n">
        <x:v>1.8</x:v>
      </x:c>
      <x:c r="H224" s="10" t="n">
        <x:v>0</x:v>
      </x:c>
      <x:c r="I224" t="n">
        <x:v>0</x:v>
      </x:c>
      <x:c r="J224" s="6" t="n">
        <x:v>0</x:v>
      </x:c>
    </x:row>
    <x:row r="225">
      <x:c r="A225" t="str">
        <x:v>889474</x:v>
      </x:c>
      <x:c r="B225" t="str">
        <x:v>Otro</x:v>
      </x:c>
      <x:c r="C225" t="n">
        <x:v>5</x:v>
      </x:c>
      <x:c r="D225" t="n">
        <x:v>2</x:v>
      </x:c>
      <x:c r="E225" t="n">
        <x:v>0</x:v>
      </x:c>
      <x:c r="F225" t="n">
        <x:v>0</x:v>
      </x:c>
      <x:c r="G225" s="10" t="n">
        <x:v>0</x:v>
      </x:c>
      <x:c r="H225" s="10" t="n">
        <x:v>0</x:v>
      </x:c>
      <x:c r="I225" t="n">
        <x:v>0</x:v>
      </x:c>
      <x:c r="J225" s="6" t="n">
        <x:v>0</x:v>
      </x:c>
    </x:row>
    <x:row r="226">
      <x:c r="A226" t="str">
        <x:v>275-40-r20-michelin-pilot-sport-4-suv-106y</x:v>
      </x:c>
      <x:c r="B226" t="str">
        <x:v>Producto / URL</x:v>
      </x:c>
      <x:c r="C226" t="n">
        <x:v>5</x:v>
      </x:c>
      <x:c r="D226" t="n">
        <x:v>4</x:v>
      </x:c>
      <x:c r="E226" t="n">
        <x:v>0</x:v>
      </x:c>
      <x:c r="F226" t="n">
        <x:v>0</x:v>
      </x:c>
      <x:c r="G226" s="10" t="n">
        <x:v>0</x:v>
      </x:c>
      <x:c r="H226" s="10" t="n">
        <x:v>0</x:v>
      </x:c>
      <x:c r="I226" t="n">
        <x:v>0</x:v>
      </x:c>
      <x:c r="J226" s="6" t="n">
        <x:v>0</x:v>
      </x:c>
    </x:row>
    <x:row r="227">
      <x:c r="A227" t="str">
        <x:v>rodado 14</x:v>
      </x:c>
      <x:c r="B227" t="str">
        <x:v>Otro</x:v>
      </x:c>
      <x:c r="C227" t="n">
        <x:v>5</x:v>
      </x:c>
      <x:c r="D227" t="n">
        <x:v>3</x:v>
      </x:c>
      <x:c r="E227" t="n">
        <x:v>1</x:v>
      </x:c>
      <x:c r="F227" t="n">
        <x:v>1</x:v>
      </x:c>
      <x:c r="G227" s="10" t="n">
        <x:v>0.2</x:v>
      </x:c>
      <x:c r="H227" s="10" t="n">
        <x:v>0</x:v>
      </x:c>
      <x:c r="I227" t="n">
        <x:v>0</x:v>
      </x:c>
      <x:c r="J227" s="6" t="n">
        <x:v>0</x:v>
      </x:c>
    </x:row>
    <x:row r="228">
      <x:c r="A228" t="str">
        <x:v>185-65-r15-fate-sentiva-sport-84-h</x:v>
      </x:c>
      <x:c r="B228" t="str">
        <x:v>Producto / URL</x:v>
      </x:c>
      <x:c r="C228" t="n">
        <x:v>5</x:v>
      </x:c>
      <x:c r="D228" t="n">
        <x:v>4</x:v>
      </x:c>
      <x:c r="E228" t="n">
        <x:v>0</x:v>
      </x:c>
      <x:c r="F228" t="n">
        <x:v>0</x:v>
      </x:c>
      <x:c r="G228" s="10" t="n">
        <x:v>0</x:v>
      </x:c>
      <x:c r="H228" s="10" t="n">
        <x:v>0</x:v>
      </x:c>
      <x:c r="I228" t="n">
        <x:v>0</x:v>
      </x:c>
      <x:c r="J228" s="6" t="n">
        <x:v>0</x:v>
      </x:c>
    </x:row>
    <x:row r="229">
      <x:c r="A229" t="str">
        <x:v>255 70 16 kumho</x:v>
      </x:c>
      <x:c r="B229" t="str">
        <x:v>Medida</x:v>
      </x:c>
      <x:c r="C229" t="n">
        <x:v>5</x:v>
      </x:c>
      <x:c r="D229" t="n">
        <x:v>2</x:v>
      </x:c>
      <x:c r="E229" t="n">
        <x:v>0</x:v>
      </x:c>
      <x:c r="F229" t="n">
        <x:v>0</x:v>
      </x:c>
      <x:c r="G229" s="10" t="n">
        <x:v>0</x:v>
      </x:c>
      <x:c r="H229" s="10" t="n">
        <x:v>0</x:v>
      </x:c>
      <x:c r="I229" t="n">
        <x:v>0</x:v>
      </x:c>
      <x:c r="J229" s="6" t="n">
        <x:v>0</x:v>
      </x:c>
    </x:row>
    <x:row r="230">
      <x:c r="A230" t="str">
        <x:v>ko2</x:v>
      </x:c>
      <x:c r="B230" t="str">
        <x:v>Otro</x:v>
      </x:c>
      <x:c r="C230" t="n">
        <x:v>5</x:v>
      </x:c>
      <x:c r="D230" t="n">
        <x:v>4</x:v>
      </x:c>
      <x:c r="E230" t="n">
        <x:v>0</x:v>
      </x:c>
      <x:c r="F230" t="n">
        <x:v>0</x:v>
      </x:c>
      <x:c r="G230" s="10" t="n">
        <x:v>0</x:v>
      </x:c>
      <x:c r="H230" s="10" t="n">
        <x:v>0</x:v>
      </x:c>
      <x:c r="I230" t="n">
        <x:v>0</x:v>
      </x:c>
      <x:c r="J230" s="6" t="n">
        <x:v>0</x:v>
      </x:c>
    </x:row>
    <x:row r="231">
      <x:c r="A231" t="str">
        <x:v>225 40 r18</x:v>
      </x:c>
      <x:c r="B231" t="str">
        <x:v>Medida</x:v>
      </x:c>
      <x:c r="C231" t="n">
        <x:v>5</x:v>
      </x:c>
      <x:c r="D231" t="n">
        <x:v>4</x:v>
      </x:c>
      <x:c r="E231" t="n">
        <x:v>7</x:v>
      </x:c>
      <x:c r="F231" t="n">
        <x:v>2</x:v>
      </x:c>
      <x:c r="G231" s="10" t="n">
        <x:v>1.4</x:v>
      </x:c>
      <x:c r="H231" s="10" t="n">
        <x:v>0</x:v>
      </x:c>
      <x:c r="I231" t="n">
        <x:v>0</x:v>
      </x:c>
      <x:c r="J231" s="6" t="n">
        <x:v>0</x:v>
      </x:c>
    </x:row>
    <x:row r="232">
      <x:c r="A232" t="str">
        <x:v>235-45-r17-michelin-primacy-4-plus-97-w</x:v>
      </x:c>
      <x:c r="B232" t="str">
        <x:v>Producto / URL</x:v>
      </x:c>
      <x:c r="C232" t="n">
        <x:v>5</x:v>
      </x:c>
      <x:c r="D232" t="n">
        <x:v>3</x:v>
      </x:c>
      <x:c r="E232" t="n">
        <x:v>0</x:v>
      </x:c>
      <x:c r="F232" t="n">
        <x:v>0</x:v>
      </x:c>
      <x:c r="G232" s="10" t="n">
        <x:v>0</x:v>
      </x:c>
      <x:c r="H232" s="10" t="n">
        <x:v>0</x:v>
      </x:c>
      <x:c r="I232" t="n">
        <x:v>0</x:v>
      </x:c>
      <x:c r="J232" s="6" t="n">
        <x:v>0</x:v>
      </x:c>
    </x:row>
    <x:row r="233">
      <x:c r="A233" t="str">
        <x:v>blueart</x:v>
      </x:c>
      <x:c r="B233" t="str">
        <x:v>Otro</x:v>
      </x:c>
      <x:c r="C233" t="n">
        <x:v>5</x:v>
      </x:c>
      <x:c r="D233" t="n">
        <x:v>5</x:v>
      </x:c>
      <x:c r="E233" t="n">
        <x:v>3</x:v>
      </x:c>
      <x:c r="F233" t="n">
        <x:v>3</x:v>
      </x:c>
      <x:c r="G233" s="10" t="n">
        <x:v>0.6</x:v>
      </x:c>
      <x:c r="H233" s="10" t="n">
        <x:v>0</x:v>
      </x:c>
      <x:c r="I233" t="n">
        <x:v>0</x:v>
      </x:c>
      <x:c r="J233" s="6" t="n">
        <x:v>0</x:v>
      </x:c>
    </x:row>
    <x:row r="234">
      <x:c r="A234" t="str">
        <x:v>110-80-r-19-m-c-59v-michelin-anakee-adventure-f-1</x:v>
      </x:c>
      <x:c r="B234" t="str">
        <x:v>Otro</x:v>
      </x:c>
      <x:c r="C234" t="n">
        <x:v>5</x:v>
      </x:c>
      <x:c r="D234" t="n">
        <x:v>2</x:v>
      </x:c>
      <x:c r="E234" t="n">
        <x:v>0</x:v>
      </x:c>
      <x:c r="F234" t="n">
        <x:v>0</x:v>
      </x:c>
      <x:c r="G234" s="10" t="n">
        <x:v>0</x:v>
      </x:c>
      <x:c r="H234" s="10" t="n">
        <x:v>0</x:v>
      </x:c>
      <x:c r="I234" t="n">
        <x:v>0</x:v>
      </x:c>
      <x:c r="J234" s="6" t="n">
        <x:v>0</x:v>
      </x:c>
    </x:row>
    <x:row r="235">
      <x:c r="A235" t="str">
        <x:v>255 55 r19</x:v>
      </x:c>
      <x:c r="B235" t="str">
        <x:v>Medida</x:v>
      </x:c>
      <x:c r="C235" t="n">
        <x:v>5</x:v>
      </x:c>
      <x:c r="D235" t="n">
        <x:v>5</x:v>
      </x:c>
      <x:c r="E235" t="n">
        <x:v>4</x:v>
      </x:c>
      <x:c r="F235" t="n">
        <x:v>1</x:v>
      </x:c>
      <x:c r="G235" s="10" t="n">
        <x:v>0.8</x:v>
      </x:c>
      <x:c r="H235" s="10" t="n">
        <x:v>0</x:v>
      </x:c>
      <x:c r="I235" t="n">
        <x:v>0</x:v>
      </x:c>
      <x:c r="J235" s="6" t="n">
        <x:v>0</x:v>
      </x:c>
    </x:row>
    <x:row r="236">
      <x:c r="A236" t="str">
        <x:v>245 70 r16</x:v>
      </x:c>
      <x:c r="B236" t="str">
        <x:v>Medida</x:v>
      </x:c>
      <x:c r="C236" t="n">
        <x:v>5</x:v>
      </x:c>
      <x:c r="D236" t="n">
        <x:v>2</x:v>
      </x:c>
      <x:c r="E236" t="n">
        <x:v>3</x:v>
      </x:c>
      <x:c r="F236" t="n">
        <x:v>2</x:v>
      </x:c>
      <x:c r="G236" s="10" t="n">
        <x:v>0.6</x:v>
      </x:c>
      <x:c r="H236" s="10" t="n">
        <x:v>0</x:v>
      </x:c>
      <x:c r="I236" t="n">
        <x:v>0</x:v>
      </x:c>
      <x:c r="J236" s="6" t="n">
        <x:v>0</x:v>
      </x:c>
    </x:row>
    <x:row r="237">
      <x:c r="A237" t="str">
        <x:v>90 90 21 anakee road</x:v>
      </x:c>
      <x:c r="B237" t="str">
        <x:v>Otro</x:v>
      </x:c>
      <x:c r="C237" t="n">
        <x:v>5</x:v>
      </x:c>
      <x:c r="D237" t="n">
        <x:v>5</x:v>
      </x:c>
      <x:c r="E237" t="n">
        <x:v>0</x:v>
      </x:c>
      <x:c r="F237" t="n">
        <x:v>0</x:v>
      </x:c>
      <x:c r="G237" s="10" t="n">
        <x:v>0</x:v>
      </x:c>
      <x:c r="H237" s="10" t="n">
        <x:v>0</x:v>
      </x:c>
      <x:c r="I237" t="n">
        <x:v>0</x:v>
      </x:c>
      <x:c r="J237" s="6" t="n">
        <x:v>0</x:v>
      </x:c>
    </x:row>
    <x:row r="238">
      <x:c r="A238" t="str">
        <x:v>245 60 r17</x:v>
      </x:c>
      <x:c r="B238" t="str">
        <x:v>Medida</x:v>
      </x:c>
      <x:c r="C238" t="n">
        <x:v>5</x:v>
      </x:c>
      <x:c r="D238" t="n">
        <x:v>2</x:v>
      </x:c>
      <x:c r="E238" t="n">
        <x:v>0</x:v>
      </x:c>
      <x:c r="F238" t="n">
        <x:v>0</x:v>
      </x:c>
      <x:c r="G238" s="10" t="n">
        <x:v>0</x:v>
      </x:c>
      <x:c r="H238" s="10" t="n">
        <x:v>0</x:v>
      </x:c>
      <x:c r="I238" t="n">
        <x:v>0</x:v>
      </x:c>
      <x:c r="J238" s="6" t="n">
        <x:v>0</x:v>
      </x:c>
    </x:row>
    <x:row r="239">
      <x:c r="A239" t="str">
        <x:v>ko2 245</x:v>
      </x:c>
      <x:c r="B239" t="str">
        <x:v>Otro</x:v>
      </x:c>
      <x:c r="C239" t="n">
        <x:v>5</x:v>
      </x:c>
      <x:c r="D239" t="n">
        <x:v>1</x:v>
      </x:c>
      <x:c r="E239" t="n">
        <x:v>0</x:v>
      </x:c>
      <x:c r="F239" t="n">
        <x:v>0</x:v>
      </x:c>
      <x:c r="G239" s="10" t="n">
        <x:v>0</x:v>
      </x:c>
      <x:c r="H239" s="10" t="n">
        <x:v>0</x:v>
      </x:c>
      <x:c r="I239" t="n">
        <x:v>0</x:v>
      </x:c>
      <x:c r="J239" s="6" t="n">
        <x:v>0</x:v>
      </x:c>
    </x:row>
    <x:row r="240">
      <x:c r="A240" t="str">
        <x:v>185 60 r14</x:v>
      </x:c>
      <x:c r="B240" t="str">
        <x:v>Medida</x:v>
      </x:c>
      <x:c r="C240" t="n">
        <x:v>5</x:v>
      </x:c>
      <x:c r="D240" t="n">
        <x:v>2</x:v>
      </x:c>
      <x:c r="E240" t="n">
        <x:v>5</x:v>
      </x:c>
      <x:c r="F240" t="n">
        <x:v>2</x:v>
      </x:c>
      <x:c r="G240" s="10" t="n">
        <x:v>1</x:v>
      </x:c>
      <x:c r="H240" s="10" t="n">
        <x:v>0</x:v>
      </x:c>
      <x:c r="I240" t="n">
        <x:v>0</x:v>
      </x:c>
      <x:c r="J240" s="6" t="n">
        <x:v>0</x:v>
      </x:c>
    </x:row>
    <x:row r="241">
      <x:c r="A241" t="str">
        <x:v>pilot sport 5</x:v>
      </x:c>
      <x:c r="B241" t="str">
        <x:v>Otro</x:v>
      </x:c>
      <x:c r="C241" t="n">
        <x:v>5</x:v>
      </x:c>
      <x:c r="D241" t="n">
        <x:v>4</x:v>
      </x:c>
      <x:c r="E241" t="n">
        <x:v>6</x:v>
      </x:c>
      <x:c r="F241" t="n">
        <x:v>3</x:v>
      </x:c>
      <x:c r="G241" s="10" t="n">
        <x:v>1.2</x:v>
      </x:c>
      <x:c r="H241" s="10" t="n">
        <x:v>0</x:v>
      </x:c>
      <x:c r="I241" t="n">
        <x:v>0</x:v>
      </x:c>
      <x:c r="J241" s="6" t="n">
        <x:v>0</x:v>
      </x:c>
    </x:row>
    <x:row r="242">
      <x:c r="A242" t="str">
        <x:v>205 50 r17</x:v>
      </x:c>
      <x:c r="B242" t="str">
        <x:v>Medida</x:v>
      </x:c>
      <x:c r="C242" t="n">
        <x:v>5</x:v>
      </x:c>
      <x:c r="D242" t="n">
        <x:v>4</x:v>
      </x:c>
      <x:c r="E242" t="n">
        <x:v>14</x:v>
      </x:c>
      <x:c r="F242" t="n">
        <x:v>3</x:v>
      </x:c>
      <x:c r="G242" s="10" t="n">
        <x:v>2.8</x:v>
      </x:c>
      <x:c r="H242" s="10" t="n">
        <x:v>0</x:v>
      </x:c>
      <x:c r="I242" t="n">
        <x:v>0</x:v>
      </x:c>
      <x:c r="J242" s="6" t="n">
        <x:v>0</x:v>
      </x:c>
    </x:row>
    <x:row r="243">
      <x:c r="A243" t="str">
        <x:v>195-50-r16-sailun-atrezzo-elite-88-v</x:v>
      </x:c>
      <x:c r="B243" t="str">
        <x:v>Producto / URL</x:v>
      </x:c>
      <x:c r="C243" t="n">
        <x:v>5</x:v>
      </x:c>
      <x:c r="D243" t="n">
        <x:v>4</x:v>
      </x:c>
      <x:c r="E243" t="n">
        <x:v>0</x:v>
      </x:c>
      <x:c r="F243" t="n">
        <x:v>0</x:v>
      </x:c>
      <x:c r="G243" s="10" t="n">
        <x:v>0</x:v>
      </x:c>
      <x:c r="H243" s="10" t="n">
        <x:v>0</x:v>
      </x:c>
      <x:c r="I243" t="n">
        <x:v>0</x:v>
      </x:c>
      <x:c r="J243" s="6" t="n">
        <x:v>0</x:v>
      </x:c>
    </x:row>
    <x:row r="244">
      <x:c r="A244" t="str">
        <x:v>215 55 r18</x:v>
      </x:c>
      <x:c r="B244" t="str">
        <x:v>Medida</x:v>
      </x:c>
      <x:c r="C244" t="n">
        <x:v>5</x:v>
      </x:c>
      <x:c r="D244" t="n">
        <x:v>5</x:v>
      </x:c>
      <x:c r="E244" t="n">
        <x:v>3</x:v>
      </x:c>
      <x:c r="F244" t="n">
        <x:v>1</x:v>
      </x:c>
      <x:c r="G244" s="10" t="n">
        <x:v>0.6</x:v>
      </x:c>
      <x:c r="H244" s="10" t="n">
        <x:v>0</x:v>
      </x:c>
      <x:c r="I244" t="n">
        <x:v>0</x:v>
      </x:c>
      <x:c r="J244" s="6" t="n">
        <x:v>0</x:v>
      </x:c>
    </x:row>
    <x:row r="245">
      <x:c r="A245" t="str">
        <x:v>125-r15-michelin-flanc-blanc-x-68-s</x:v>
      </x:c>
      <x:c r="B245" t="str">
        <x:v>Otro</x:v>
      </x:c>
      <x:c r="C245" t="n">
        <x:v>5</x:v>
      </x:c>
      <x:c r="D245" t="n">
        <x:v>5</x:v>
      </x:c>
      <x:c r="E245" t="n">
        <x:v>0</x:v>
      </x:c>
      <x:c r="F245" t="n">
        <x:v>0</x:v>
      </x:c>
      <x:c r="G245" s="10" t="n">
        <x:v>0</x:v>
      </x:c>
      <x:c r="H245" s="10" t="n">
        <x:v>0</x:v>
      </x:c>
      <x:c r="I245" t="n">
        <x:v>0</x:v>
      </x:c>
      <x:c r="J245" s="6" t="n">
        <x:v>0</x:v>
      </x:c>
    </x:row>
    <x:row r="246">
      <x:c r="A246" t="str">
        <x:v>neumáticos 13</x:v>
      </x:c>
      <x:c r="B246" t="str">
        <x:v>Otro</x:v>
      </x:c>
      <x:c r="C246" t="n">
        <x:v>4</x:v>
      </x:c>
      <x:c r="D246" t="n">
        <x:v>3</x:v>
      </x:c>
      <x:c r="E246" t="n">
        <x:v>0</x:v>
      </x:c>
      <x:c r="F246" t="n">
        <x:v>0</x:v>
      </x:c>
      <x:c r="G246" s="10" t="n">
        <x:v>0</x:v>
      </x:c>
      <x:c r="H246" s="10" t="n">
        <x:v>0</x:v>
      </x:c>
      <x:c r="I246" t="n">
        <x:v>0</x:v>
      </x:c>
      <x:c r="J246" s="6" t="n">
        <x:v>0</x:v>
      </x:c>
    </x:row>
    <x:row r="247">
      <x:c r="A247" t="str">
        <x:v>225-55-r18-bf-goodrich-trail-terrain-ta-102-h</x:v>
      </x:c>
      <x:c r="B247" t="str">
        <x:v>Producto / URL</x:v>
      </x:c>
      <x:c r="C247" t="n">
        <x:v>4</x:v>
      </x:c>
      <x:c r="D247" t="n">
        <x:v>3</x:v>
      </x:c>
      <x:c r="E247" t="n">
        <x:v>0</x:v>
      </x:c>
      <x:c r="F247" t="n">
        <x:v>0</x:v>
      </x:c>
      <x:c r="G247" s="10" t="n">
        <x:v>0</x:v>
      </x:c>
      <x:c r="H247" s="10" t="n">
        <x:v>0</x:v>
      </x:c>
      <x:c r="I247" t="n">
        <x:v>0</x:v>
      </x:c>
      <x:c r="J247" s="6" t="n">
        <x:v>0</x:v>
      </x:c>
    </x:row>
    <x:row r="248">
      <x:c r="A248" t="str">
        <x:v>force</x:v>
      </x:c>
      <x:c r="B248" t="str">
        <x:v>Otro</x:v>
      </x:c>
      <x:c r="C248" t="n">
        <x:v>4</x:v>
      </x:c>
      <x:c r="D248" t="n">
        <x:v>2</x:v>
      </x:c>
      <x:c r="E248" t="n">
        <x:v>1</x:v>
      </x:c>
      <x:c r="F248" t="n">
        <x:v>1</x:v>
      </x:c>
      <x:c r="G248" s="10" t="n">
        <x:v>0.25</x:v>
      </x:c>
      <x:c r="H248" s="10" t="n">
        <x:v>0</x:v>
      </x:c>
      <x:c r="I248" t="n">
        <x:v>0</x:v>
      </x:c>
      <x:c r="J248" s="6" t="n">
        <x:v>0</x:v>
      </x:c>
    </x:row>
    <x:row r="249">
      <x:c r="A249" t="str">
        <x:v>225 75 16</x:v>
      </x:c>
      <x:c r="B249" t="str">
        <x:v>Medida</x:v>
      </x:c>
      <x:c r="C249" t="n">
        <x:v>4</x:v>
      </x:c>
      <x:c r="D249" t="n">
        <x:v>3</x:v>
      </x:c>
      <x:c r="E249" t="n">
        <x:v>4</x:v>
      </x:c>
      <x:c r="F249" t="n">
        <x:v>3</x:v>
      </x:c>
      <x:c r="G249" s="10" t="n">
        <x:v>1</x:v>
      </x:c>
      <x:c r="H249" s="10" t="n">
        <x:v>0</x:v>
      </x:c>
      <x:c r="I249" t="n">
        <x:v>0</x:v>
      </x:c>
      <x:c r="J249" s="6" t="n">
        <x:v>0</x:v>
      </x:c>
    </x:row>
    <x:row r="250">
      <x:c r="A250" t="str">
        <x:v>R2455</x:v>
      </x:c>
      <x:c r="B250" t="str">
        <x:v>Otro</x:v>
      </x:c>
      <x:c r="C250" t="n">
        <x:v>4</x:v>
      </x:c>
      <x:c r="D250" t="n">
        <x:v>4</x:v>
      </x:c>
      <x:c r="E250" t="n">
        <x:v>4</x:v>
      </x:c>
      <x:c r="F250" t="n">
        <x:v>1</x:v>
      </x:c>
      <x:c r="G250" s="10" t="n">
        <x:v>1</x:v>
      </x:c>
      <x:c r="H250" s="10" t="n">
        <x:v>0</x:v>
      </x:c>
      <x:c r="I250" t="n">
        <x:v>0</x:v>
      </x:c>
      <x:c r="J250" s="6" t="n">
        <x:v>0</x:v>
      </x:c>
    </x:row>
    <x:row r="251">
      <x:c r="A251" t="str">
        <x:v>215 45 r18</x:v>
      </x:c>
      <x:c r="B251" t="str">
        <x:v>Medida</x:v>
      </x:c>
      <x:c r="C251" t="n">
        <x:v>4</x:v>
      </x:c>
      <x:c r="D251" t="n">
        <x:v>3</x:v>
      </x:c>
      <x:c r="E251" t="n">
        <x:v>0</x:v>
      </x:c>
      <x:c r="F251" t="n">
        <x:v>0</x:v>
      </x:c>
      <x:c r="G251" s="10" t="n">
        <x:v>0</x:v>
      </x:c>
      <x:c r="H251" s="10" t="n">
        <x:v>0</x:v>
      </x:c>
      <x:c r="I251" t="n">
        <x:v>0</x:v>
      </x:c>
      <x:c r="J251" s="6" t="n">
        <x:v>0</x:v>
      </x:c>
    </x:row>
    <x:row r="252">
      <x:c r="A252" t="str">
        <x:v>michelín zp</x:v>
      </x:c>
      <x:c r="B252" t="str">
        <x:v>Otro</x:v>
      </x:c>
      <x:c r="C252" t="n">
        <x:v>4</x:v>
      </x:c>
      <x:c r="D252" t="n">
        <x:v>2</x:v>
      </x:c>
      <x:c r="E252" t="n">
        <x:v>0</x:v>
      </x:c>
      <x:c r="F252" t="n">
        <x:v>0</x:v>
      </x:c>
      <x:c r="G252" s="10" t="n">
        <x:v>0</x:v>
      </x:c>
      <x:c r="H252" s="10" t="n">
        <x:v>0</x:v>
      </x:c>
      <x:c r="I252" t="n">
        <x:v>0</x:v>
      </x:c>
      <x:c r="J252" s="6" t="n">
        <x:v>0</x:v>
      </x:c>
    </x:row>
    <x:row r="253">
      <x:c r="A253" t="str">
        <x:v>4 estaciones</x:v>
      </x:c>
      <x:c r="B253" t="str">
        <x:v>Otro</x:v>
      </x:c>
      <x:c r="C253" t="n">
        <x:v>4</x:v>
      </x:c>
      <x:c r="D253" t="n">
        <x:v>1</x:v>
      </x:c>
      <x:c r="E253" t="n">
        <x:v>0</x:v>
      </x:c>
      <x:c r="F253" t="n">
        <x:v>0</x:v>
      </x:c>
      <x:c r="G253" s="10" t="n">
        <x:v>0</x:v>
      </x:c>
      <x:c r="H253" s="10" t="n">
        <x:v>0</x:v>
      </x:c>
      <x:c r="I253" t="n">
        <x:v>0</x:v>
      </x:c>
      <x:c r="J253" s="6" t="n">
        <x:v>0</x:v>
      </x:c>
    </x:row>
    <x:row r="254">
      <x:c r="A254" t="str">
        <x:v>215-60-r16-michelin-primacy-4-plus-99-v</x:v>
      </x:c>
      <x:c r="B254" t="str">
        <x:v>Producto / URL</x:v>
      </x:c>
      <x:c r="C254" t="n">
        <x:v>4</x:v>
      </x:c>
      <x:c r="D254" t="n">
        <x:v>3</x:v>
      </x:c>
      <x:c r="E254" t="n">
        <x:v>0</x:v>
      </x:c>
      <x:c r="F254" t="n">
        <x:v>0</x:v>
      </x:c>
      <x:c r="G254" s="10" t="n">
        <x:v>0</x:v>
      </x:c>
      <x:c r="H254" s="10" t="n">
        <x:v>0</x:v>
      </x:c>
      <x:c r="I254" t="n">
        <x:v>0</x:v>
      </x:c>
      <x:c r="J254" s="6" t="n">
        <x:v>0</x:v>
      </x:c>
    </x:row>
    <x:row r="255">
      <x:c r="A255" t="str">
        <x:v>1856014</x:v>
      </x:c>
      <x:c r="B255" t="str">
        <x:v>Otro</x:v>
      </x:c>
      <x:c r="C255" t="n">
        <x:v>4</x:v>
      </x:c>
      <x:c r="D255" t="n">
        <x:v>2</x:v>
      </x:c>
      <x:c r="E255" t="n">
        <x:v>0</x:v>
      </x:c>
      <x:c r="F255" t="n">
        <x:v>0</x:v>
      </x:c>
      <x:c r="G255" s="10" t="n">
        <x:v>0</x:v>
      </x:c>
      <x:c r="H255" s="10" t="n">
        <x:v>0</x:v>
      </x:c>
      <x:c r="I255" t="n">
        <x:v>0</x:v>
      </x:c>
      <x:c r="J255" s="6" t="n">
        <x:v>0</x:v>
      </x:c>
    </x:row>
    <x:row r="256">
      <x:c r="A256" t="str">
        <x:v>mastersteel</x:v>
      </x:c>
      <x:c r="B256" t="str">
        <x:v>Marca</x:v>
      </x:c>
      <x:c r="C256" t="n">
        <x:v>4</x:v>
      </x:c>
      <x:c r="D256" t="n">
        <x:v>3</x:v>
      </x:c>
      <x:c r="E256" t="n">
        <x:v>1</x:v>
      </x:c>
      <x:c r="F256" t="n">
        <x:v>1</x:v>
      </x:c>
      <x:c r="G256" s="10" t="n">
        <x:v>0.25</x:v>
      </x:c>
      <x:c r="H256" s="10" t="n">
        <x:v>0</x:v>
      </x:c>
      <x:c r="I256" t="n">
        <x:v>0</x:v>
      </x:c>
      <x:c r="J256" s="6" t="n">
        <x:v>0</x:v>
      </x:c>
    </x:row>
    <x:row r="257">
      <x:c r="A257" t="str">
        <x:v>205 55 r17</x:v>
      </x:c>
      <x:c r="B257" t="str">
        <x:v>Medida</x:v>
      </x:c>
      <x:c r="C257" t="n">
        <x:v>4</x:v>
      </x:c>
      <x:c r="D257" t="n">
        <x:v>3</x:v>
      </x:c>
      <x:c r="E257" t="n">
        <x:v>3</x:v>
      </x:c>
      <x:c r="F257" t="n">
        <x:v>1</x:v>
      </x:c>
      <x:c r="G257" s="10" t="n">
        <x:v>0.75</x:v>
      </x:c>
      <x:c r="H257" s="10" t="n">
        <x:v>0</x:v>
      </x:c>
      <x:c r="I257" t="n">
        <x:v>0</x:v>
      </x:c>
      <x:c r="J257" s="6" t="n">
        <x:v>0</x:v>
      </x:c>
    </x:row>
    <x:row r="258">
      <x:c r="A258" t="str">
        <x:v>31 10.5 15</x:v>
      </x:c>
      <x:c r="B258" t="str">
        <x:v>Otro</x:v>
      </x:c>
      <x:c r="C258" t="n">
        <x:v>4</x:v>
      </x:c>
      <x:c r="D258" t="n">
        <x:v>3</x:v>
      </x:c>
      <x:c r="E258" t="n">
        <x:v>0</x:v>
      </x:c>
      <x:c r="F258" t="n">
        <x:v>0</x:v>
      </x:c>
      <x:c r="G258" s="10" t="n">
        <x:v>0</x:v>
      </x:c>
      <x:c r="H258" s="10" t="n">
        <x:v>0</x:v>
      </x:c>
      <x:c r="I258" t="n">
        <x:v>0</x:v>
      </x:c>
      <x:c r="J258" s="6" t="n">
        <x:v>0</x:v>
      </x:c>
    </x:row>
    <x:row r="259">
      <x:c r="A259" t="str">
        <x:v>237665</x:v>
      </x:c>
      <x:c r="B259" t="str">
        <x:v>Otro</x:v>
      </x:c>
      <x:c r="C259" t="n">
        <x:v>4</x:v>
      </x:c>
      <x:c r="D259" t="n">
        <x:v>4</x:v>
      </x:c>
      <x:c r="E259" t="n">
        <x:v>0</x:v>
      </x:c>
      <x:c r="F259" t="n">
        <x:v>0</x:v>
      </x:c>
      <x:c r="G259" s="10" t="n">
        <x:v>0</x:v>
      </x:c>
      <x:c r="H259" s="10" t="n">
        <x:v>0</x:v>
      </x:c>
      <x:c r="I259" t="n">
        <x:v>0</x:v>
      </x:c>
      <x:c r="J259" s="6" t="n">
        <x:v>0</x:v>
      </x:c>
    </x:row>
    <x:row r="260">
      <x:c r="A260" t="str">
        <x:v>michelin pilot sport 4</x:v>
      </x:c>
      <x:c r="B260" t="str">
        <x:v>Otro</x:v>
      </x:c>
      <x:c r="C260" t="n">
        <x:v>4</x:v>
      </x:c>
      <x:c r="D260" t="n">
        <x:v>1</x:v>
      </x:c>
      <x:c r="E260" t="n">
        <x:v>2</x:v>
      </x:c>
      <x:c r="F260" t="n">
        <x:v>1</x:v>
      </x:c>
      <x:c r="G260" s="10" t="n">
        <x:v>0.5</x:v>
      </x:c>
      <x:c r="H260" s="10" t="n">
        <x:v>0</x:v>
      </x:c>
      <x:c r="I260" t="n">
        <x:v>0</x:v>
      </x:c>
      <x:c r="J260" s="6" t="n">
        <x:v>0</x:v>
      </x:c>
    </x:row>
    <x:row r="261">
      <x:c r="A261" t="str">
        <x:v>225 40 18</x:v>
      </x:c>
      <x:c r="B261" t="str">
        <x:v>Medida</x:v>
      </x:c>
      <x:c r="C261" t="n">
        <x:v>4</x:v>
      </x:c>
      <x:c r="D261" t="n">
        <x:v>3</x:v>
      </x:c>
      <x:c r="E261" t="n">
        <x:v>0</x:v>
      </x:c>
      <x:c r="F261" t="n">
        <x:v>0</x:v>
      </x:c>
      <x:c r="G261" s="10" t="n">
        <x:v>0</x:v>
      </x:c>
      <x:c r="H261" s="10" t="n">
        <x:v>0</x:v>
      </x:c>
      <x:c r="I261" t="n">
        <x:v>0</x:v>
      </x:c>
      <x:c r="J261" s="6" t="n">
        <x:v>0</x:v>
      </x:c>
    </x:row>
    <x:row r="262">
      <x:c r="A262" t="str">
        <x:v>195 50 r16</x:v>
      </x:c>
      <x:c r="B262" t="str">
        <x:v>Medida</x:v>
      </x:c>
      <x:c r="C262" t="n">
        <x:v>4</x:v>
      </x:c>
      <x:c r="D262" t="n">
        <x:v>4</x:v>
      </x:c>
      <x:c r="E262" t="n">
        <x:v>2</x:v>
      </x:c>
      <x:c r="F262" t="n">
        <x:v>2</x:v>
      </x:c>
      <x:c r="G262" s="10" t="n">
        <x:v>0.5</x:v>
      </x:c>
      <x:c r="H262" s="10" t="n">
        <x:v>0</x:v>
      </x:c>
      <x:c r="I262" t="n">
        <x:v>0</x:v>
      </x:c>
      <x:c r="J262" s="6" t="n">
        <x:v>0</x:v>
      </x:c>
    </x:row>
    <x:row r="263">
      <x:c r="A263" t="str">
        <x:v>kumho</x:v>
      </x:c>
      <x:c r="B263" t="str">
        <x:v>Marca</x:v>
      </x:c>
      <x:c r="C263" t="n">
        <x:v>4</x:v>
      </x:c>
      <x:c r="D263" t="n">
        <x:v>1</x:v>
      </x:c>
      <x:c r="E263" t="n">
        <x:v>0</x:v>
      </x:c>
      <x:c r="F263" t="n">
        <x:v>0</x:v>
      </x:c>
      <x:c r="G263" s="10" t="n">
        <x:v>0</x:v>
      </x:c>
      <x:c r="H263" s="10" t="n">
        <x:v>0</x:v>
      </x:c>
      <x:c r="I263" t="n">
        <x:v>0</x:v>
      </x:c>
      <x:c r="J263" s="6" t="n">
        <x:v>0</x:v>
      </x:c>
    </x:row>
    <x:row r="264">
      <x:c r="A264" t="str">
        <x:v>235-55-r19-michelin-pilot-sport-4-suv-105y</x:v>
      </x:c>
      <x:c r="B264" t="str">
        <x:v>Producto / URL</x:v>
      </x:c>
      <x:c r="C264" t="n">
        <x:v>4</x:v>
      </x:c>
      <x:c r="D264" t="n">
        <x:v>3</x:v>
      </x:c>
      <x:c r="E264" t="n">
        <x:v>0</x:v>
      </x:c>
      <x:c r="F264" t="n">
        <x:v>0</x:v>
      </x:c>
      <x:c r="G264" s="10" t="n">
        <x:v>0</x:v>
      </x:c>
      <x:c r="H264" s="10" t="n">
        <x:v>0</x:v>
      </x:c>
      <x:c r="I264" t="n">
        <x:v>0</x:v>
      </x:c>
      <x:c r="J264" s="6" t="n">
        <x:v>0</x:v>
      </x:c>
    </x:row>
    <x:row r="265">
      <x:c r="A265" t="str">
        <x:v>205-45-r17-michelin-primacy-4-plus-88-v</x:v>
      </x:c>
      <x:c r="B265" t="str">
        <x:v>Producto / URL</x:v>
      </x:c>
      <x:c r="C265" t="n">
        <x:v>4</x:v>
      </x:c>
      <x:c r="D265" t="n">
        <x:v>4</x:v>
      </x:c>
      <x:c r="E265" t="n">
        <x:v>0</x:v>
      </x:c>
      <x:c r="F265" t="n">
        <x:v>0</x:v>
      </x:c>
      <x:c r="G265" s="10" t="n">
        <x:v>0</x:v>
      </x:c>
      <x:c r="H265" s="10" t="n">
        <x:v>0</x:v>
      </x:c>
      <x:c r="I265" t="n">
        <x:v>0</x:v>
      </x:c>
      <x:c r="J265" s="6" t="n">
        <x:v>0</x:v>
      </x:c>
    </x:row>
    <x:row r="266">
      <x:c r="A266" t="str">
        <x:v>275-55-r20-bfgoodrich-all-terrain-t-a-ko2-115-112s</x:v>
      </x:c>
      <x:c r="B266" t="str">
        <x:v>Producto / URL</x:v>
      </x:c>
      <x:c r="C266" t="n">
        <x:v>4</x:v>
      </x:c>
      <x:c r="D266" t="n">
        <x:v>4</x:v>
      </x:c>
      <x:c r="E266" t="n">
        <x:v>0</x:v>
      </x:c>
      <x:c r="F266" t="n">
        <x:v>0</x:v>
      </x:c>
      <x:c r="G266" s="10" t="n">
        <x:v>0</x:v>
      </x:c>
      <x:c r="H266" s="10" t="n">
        <x:v>0</x:v>
      </x:c>
      <x:c r="I266" t="n">
        <x:v>0</x:v>
      </x:c>
      <x:c r="J266" s="6" t="n">
        <x:v>0</x:v>
      </x:c>
    </x:row>
    <x:row r="267">
      <x:c r="A267" t="str">
        <x:v>185 65 r 15 92h</x:v>
      </x:c>
      <x:c r="B267" t="str">
        <x:v>Otro</x:v>
      </x:c>
      <x:c r="C267" t="n">
        <x:v>4</x:v>
      </x:c>
      <x:c r="D267" t="n">
        <x:v>1</x:v>
      </x:c>
      <x:c r="E267" t="n">
        <x:v>0</x:v>
      </x:c>
      <x:c r="F267" t="n">
        <x:v>0</x:v>
      </x:c>
      <x:c r="G267" s="10" t="n">
        <x:v>0</x:v>
      </x:c>
      <x:c r="H267" s="10" t="n">
        <x:v>0</x:v>
      </x:c>
      <x:c r="I267" t="n">
        <x:v>0</x:v>
      </x:c>
      <x:c r="J267" s="6" t="n">
        <x:v>0</x:v>
      </x:c>
    </x:row>
    <x:row r="268">
      <x:c r="A268" t="str">
        <x:v>kit-x2-175-70-r13-mirage-mr-166-82h</x:v>
      </x:c>
      <x:c r="B268" t="str">
        <x:v>Producto / URL</x:v>
      </x:c>
      <x:c r="C268" t="n">
        <x:v>4</x:v>
      </x:c>
      <x:c r="D268" t="n">
        <x:v>2</x:v>
      </x:c>
      <x:c r="E268" t="n">
        <x:v>0</x:v>
      </x:c>
      <x:c r="F268" t="n">
        <x:v>0</x:v>
      </x:c>
      <x:c r="G268" s="10" t="n">
        <x:v>0</x:v>
      </x:c>
      <x:c r="H268" s="10" t="n">
        <x:v>0</x:v>
      </x:c>
      <x:c r="I268" t="n">
        <x:v>0</x:v>
      </x:c>
      <x:c r="J268" s="6" t="n">
        <x:v>0</x:v>
      </x:c>
    </x:row>
    <x:row r="269">
      <x:c r="A269" t="str">
        <x:v>michelin primacy 4</x:v>
      </x:c>
      <x:c r="B269" t="str">
        <x:v>Otro</x:v>
      </x:c>
      <x:c r="C269" t="n">
        <x:v>4</x:v>
      </x:c>
      <x:c r="D269" t="n">
        <x:v>2</x:v>
      </x:c>
      <x:c r="E269" t="n">
        <x:v>0</x:v>
      </x:c>
      <x:c r="F269" t="n">
        <x:v>0</x:v>
      </x:c>
      <x:c r="G269" s="10" t="n">
        <x:v>0</x:v>
      </x:c>
      <x:c r="H269" s="10" t="n">
        <x:v>0</x:v>
      </x:c>
      <x:c r="I269" t="n">
        <x:v>0</x:v>
      </x:c>
      <x:c r="J269" s="6" t="n">
        <x:v>0</x:v>
      </x:c>
    </x:row>
    <x:row r="270">
      <x:c r="A270" t="str">
        <x:v>255 40 r17</x:v>
      </x:c>
      <x:c r="B270" t="str">
        <x:v>Medida</x:v>
      </x:c>
      <x:c r="C270" t="n">
        <x:v>4</x:v>
      </x:c>
      <x:c r="D270" t="n">
        <x:v>3</x:v>
      </x:c>
      <x:c r="E270" t="n">
        <x:v>0</x:v>
      </x:c>
      <x:c r="F270" t="n">
        <x:v>0</x:v>
      </x:c>
      <x:c r="G270" s="10" t="n">
        <x:v>0</x:v>
      </x:c>
      <x:c r="H270" s="10" t="n">
        <x:v>0</x:v>
      </x:c>
      <x:c r="I270" t="n">
        <x:v>0</x:v>
      </x:c>
      <x:c r="J270" s="6" t="n">
        <x:v>0</x:v>
      </x:c>
    </x:row>
    <x:row r="271">
      <x:c r="A271" t="str">
        <x:v>257671</x:v>
      </x:c>
      <x:c r="B271" t="str">
        <x:v>Otro</x:v>
      </x:c>
      <x:c r="C271" t="n">
        <x:v>4</x:v>
      </x:c>
      <x:c r="D271" t="n">
        <x:v>4</x:v>
      </x:c>
      <x:c r="E271" t="n">
        <x:v>0</x:v>
      </x:c>
      <x:c r="F271" t="n">
        <x:v>0</x:v>
      </x:c>
      <x:c r="G271" s="10" t="n">
        <x:v>0</x:v>
      </x:c>
      <x:c r="H271" s="10" t="n">
        <x:v>0</x:v>
      </x:c>
      <x:c r="I271" t="n">
        <x:v>0</x:v>
      </x:c>
      <x:c r="J271" s="6" t="n">
        <x:v>0</x:v>
      </x:c>
    </x:row>
    <x:row r="272">
      <x:c r="A272" t="str">
        <x:v>265 70 17 bf</x:v>
      </x:c>
      <x:c r="B272" t="str">
        <x:v>Medida</x:v>
      </x:c>
      <x:c r="C272" t="n">
        <x:v>4</x:v>
      </x:c>
      <x:c r="D272" t="n">
        <x:v>1</x:v>
      </x:c>
      <x:c r="E272" t="n">
        <x:v>0</x:v>
      </x:c>
      <x:c r="F272" t="n">
        <x:v>0</x:v>
      </x:c>
      <x:c r="G272" s="10" t="n">
        <x:v>0</x:v>
      </x:c>
      <x:c r="H272" s="10" t="n">
        <x:v>0</x:v>
      </x:c>
      <x:c r="I272" t="n">
        <x:v>0</x:v>
      </x:c>
      <x:c r="J272" s="6" t="n">
        <x:v>0</x:v>
      </x:c>
    </x:row>
    <x:row r="273">
      <x:c r="A273" t="str">
        <x:v>r19</x:v>
      </x:c>
      <x:c r="B273" t="str">
        <x:v>Otro</x:v>
      </x:c>
      <x:c r="C273" t="n">
        <x:v>4</x:v>
      </x:c>
      <x:c r="D273" t="n">
        <x:v>1</x:v>
      </x:c>
      <x:c r="E273" t="n">
        <x:v>1</x:v>
      </x:c>
      <x:c r="F273" t="n">
        <x:v>1</x:v>
      </x:c>
      <x:c r="G273" s="10" t="n">
        <x:v>0.25</x:v>
      </x:c>
      <x:c r="H273" s="10" t="n">
        <x:v>0</x:v>
      </x:c>
      <x:c r="I273" t="n">
        <x:v>0</x:v>
      </x:c>
      <x:c r="J273" s="6" t="n">
        <x:v>0</x:v>
      </x:c>
    </x:row>
    <x:row r="274">
      <x:c r="A274" t="str">
        <x:v>255-60-r18-michelin-primacy-suv-112h</x:v>
      </x:c>
      <x:c r="B274" t="str">
        <x:v>Producto / URL</x:v>
      </x:c>
      <x:c r="C274" t="n">
        <x:v>4</x:v>
      </x:c>
      <x:c r="D274" t="n">
        <x:v>3</x:v>
      </x:c>
      <x:c r="E274" t="n">
        <x:v>0</x:v>
      </x:c>
      <x:c r="F274" t="n">
        <x:v>0</x:v>
      </x:c>
      <x:c r="G274" s="10" t="n">
        <x:v>0</x:v>
      </x:c>
      <x:c r="H274" s="10" t="n">
        <x:v>0</x:v>
      </x:c>
      <x:c r="I274" t="n">
        <x:v>0</x:v>
      </x:c>
      <x:c r="J274" s="6" t="n">
        <x:v>0</x:v>
      </x:c>
    </x:row>
    <x:row r="275">
      <x:c r="A275" t="str">
        <x:v>225 60 18</x:v>
      </x:c>
      <x:c r="B275" t="str">
        <x:v>Medida</x:v>
      </x:c>
      <x:c r="C275" t="n">
        <x:v>4</x:v>
      </x:c>
      <x:c r="D275" t="n">
        <x:v>3</x:v>
      </x:c>
      <x:c r="E275" t="n">
        <x:v>0</x:v>
      </x:c>
      <x:c r="F275" t="n">
        <x:v>0</x:v>
      </x:c>
      <x:c r="G275" s="10" t="n">
        <x:v>0</x:v>
      </x:c>
      <x:c r="H275" s="10" t="n">
        <x:v>0</x:v>
      </x:c>
      <x:c r="I275" t="n">
        <x:v>0</x:v>
      </x:c>
      <x:c r="J275" s="6" t="n">
        <x:v>0</x:v>
      </x:c>
    </x:row>
    <x:row r="276">
      <x:c r="A276" t="str">
        <x:v>225-45-r18-michelin-pilot-sport-5-95-y</x:v>
      </x:c>
      <x:c r="B276" t="str">
        <x:v>Producto / URL</x:v>
      </x:c>
      <x:c r="C276" t="n">
        <x:v>4</x:v>
      </x:c>
      <x:c r="D276" t="n">
        <x:v>4</x:v>
      </x:c>
      <x:c r="E276" t="n">
        <x:v>0</x:v>
      </x:c>
      <x:c r="F276" t="n">
        <x:v>0</x:v>
      </x:c>
      <x:c r="G276" s="10" t="n">
        <x:v>0</x:v>
      </x:c>
      <x:c r="H276" s="10" t="n">
        <x:v>0</x:v>
      </x:c>
      <x:c r="I276" t="n">
        <x:v>0</x:v>
      </x:c>
      <x:c r="J276" s="6" t="n">
        <x:v>0</x:v>
      </x:c>
    </x:row>
    <x:row r="277">
      <x:c r="A277" t="str">
        <x:v>15"</x:v>
      </x:c>
      <x:c r="B277" t="str">
        <x:v>Otro</x:v>
      </x:c>
      <x:c r="C277" t="n">
        <x:v>4</x:v>
      </x:c>
      <x:c r="D277" t="n">
        <x:v>1</x:v>
      </x:c>
      <x:c r="E277" t="n">
        <x:v>1</x:v>
      </x:c>
      <x:c r="F277" t="n">
        <x:v>1</x:v>
      </x:c>
      <x:c r="G277" s="10" t="n">
        <x:v>0.25</x:v>
      </x:c>
      <x:c r="H277" s="10" t="n">
        <x:v>0</x:v>
      </x:c>
      <x:c r="I277" t="n">
        <x:v>0</x:v>
      </x:c>
      <x:c r="J277" s="6" t="n">
        <x:v>0</x:v>
      </x:c>
    </x:row>
    <x:row r="278">
      <x:c r="A278" t="str">
        <x:v>235 60 18</x:v>
      </x:c>
      <x:c r="B278" t="str">
        <x:v>Medida</x:v>
      </x:c>
      <x:c r="C278" t="n">
        <x:v>4</x:v>
      </x:c>
      <x:c r="D278" t="n">
        <x:v>4</x:v>
      </x:c>
      <x:c r="E278" t="n">
        <x:v>0</x:v>
      </x:c>
      <x:c r="F278" t="n">
        <x:v>0</x:v>
      </x:c>
      <x:c r="G278" s="10" t="n">
        <x:v>0</x:v>
      </x:c>
      <x:c r="H278" s="10" t="n">
        <x:v>0</x:v>
      </x:c>
      <x:c r="I278" t="n">
        <x:v>0</x:v>
      </x:c>
      <x:c r="J278" s="6" t="n">
        <x:v>0</x:v>
      </x:c>
    </x:row>
    <x:row r="279">
      <x:c r="A279" t="str">
        <x:v>225-55-r19-michelin-pilot-sport-4-suv-99v</x:v>
      </x:c>
      <x:c r="B279" t="str">
        <x:v>Producto / URL</x:v>
      </x:c>
      <x:c r="C279" t="n">
        <x:v>4</x:v>
      </x:c>
      <x:c r="D279" t="n">
        <x:v>4</x:v>
      </x:c>
      <x:c r="E279" t="n">
        <x:v>0</x:v>
      </x:c>
      <x:c r="F279" t="n">
        <x:v>0</x:v>
      </x:c>
      <x:c r="G279" s="10" t="n">
        <x:v>0</x:v>
      </x:c>
      <x:c r="H279" s="10" t="n">
        <x:v>0</x:v>
      </x:c>
      <x:c r="I279" t="n">
        <x:v>0</x:v>
      </x:c>
      <x:c r="J279" s="6" t="n">
        <x:v>0</x:v>
      </x:c>
    </x:row>
    <x:row r="280">
      <x:c r="A280" t="str">
        <x:v>225-55-r16-michelin-primacy-4-99w</x:v>
      </x:c>
      <x:c r="B280" t="str">
        <x:v>Producto / URL</x:v>
      </x:c>
      <x:c r="C280" t="n">
        <x:v>4</x:v>
      </x:c>
      <x:c r="D280" t="n">
        <x:v>3</x:v>
      </x:c>
      <x:c r="E280" t="n">
        <x:v>0</x:v>
      </x:c>
      <x:c r="F280" t="n">
        <x:v>0</x:v>
      </x:c>
      <x:c r="G280" s="10" t="n">
        <x:v>0</x:v>
      </x:c>
      <x:c r="H280" s="10" t="n">
        <x:v>0</x:v>
      </x:c>
      <x:c r="I280" t="n">
        <x:v>0</x:v>
      </x:c>
      <x:c r="J280" s="6" t="n">
        <x:v>0</x:v>
      </x:c>
    </x:row>
    <x:row r="281">
      <x:c r="A281" t="str">
        <x:v>235 50 r 19</x:v>
      </x:c>
      <x:c r="B281" t="str">
        <x:v>Otro</x:v>
      </x:c>
      <x:c r="C281" t="n">
        <x:v>4</x:v>
      </x:c>
      <x:c r="D281" t="n">
        <x:v>2</x:v>
      </x:c>
      <x:c r="E281" t="n">
        <x:v>0</x:v>
      </x:c>
      <x:c r="F281" t="n">
        <x:v>0</x:v>
      </x:c>
      <x:c r="G281" s="10" t="n">
        <x:v>0</x:v>
      </x:c>
      <x:c r="H281" s="10" t="n">
        <x:v>0</x:v>
      </x:c>
      <x:c r="I281" t="n">
        <x:v>0</x:v>
      </x:c>
      <x:c r="J281" s="6" t="n">
        <x:v>0</x:v>
      </x:c>
    </x:row>
    <x:row r="282">
      <x:c r="A282" t="str">
        <x:v>120 80 14</x:v>
      </x:c>
      <x:c r="B282" t="str">
        <x:v>Medida</x:v>
      </x:c>
      <x:c r="C282" t="n">
        <x:v>4</x:v>
      </x:c>
      <x:c r="D282" t="n">
        <x:v>3</x:v>
      </x:c>
      <x:c r="E282" t="n">
        <x:v>0</x:v>
      </x:c>
      <x:c r="F282" t="n">
        <x:v>0</x:v>
      </x:c>
      <x:c r="G282" s="10" t="n">
        <x:v>0</x:v>
      </x:c>
      <x:c r="H282" s="10" t="n">
        <x:v>0</x:v>
      </x:c>
      <x:c r="I282" t="n">
        <x:v>0</x:v>
      </x:c>
      <x:c r="J282" s="6" t="n">
        <x:v>0</x:v>
      </x:c>
    </x:row>
    <x:row r="283">
      <x:c r="A283" t="str">
        <x:v>65 r17</x:v>
      </x:c>
      <x:c r="B283" t="str">
        <x:v>Otro</x:v>
      </x:c>
      <x:c r="C283" t="n">
        <x:v>4</x:v>
      </x:c>
      <x:c r="D283" t="n">
        <x:v>3</x:v>
      </x:c>
      <x:c r="E283" t="n">
        <x:v>0</x:v>
      </x:c>
      <x:c r="F283" t="n">
        <x:v>0</x:v>
      </x:c>
      <x:c r="G283" s="10" t="n">
        <x:v>0</x:v>
      </x:c>
      <x:c r="H283" s="10" t="n">
        <x:v>0</x:v>
      </x:c>
      <x:c r="I283" t="n">
        <x:v>0</x:v>
      </x:c>
      <x:c r="J283" s="6" t="n">
        <x:v>0</x:v>
      </x:c>
    </x:row>
    <x:row r="284">
      <x:c r="A284" t="str">
        <x:v>225 55 19</x:v>
      </x:c>
      <x:c r="B284" t="str">
        <x:v>Medida</x:v>
      </x:c>
      <x:c r="C284" t="n">
        <x:v>4</x:v>
      </x:c>
      <x:c r="D284" t="n">
        <x:v>2</x:v>
      </x:c>
      <x:c r="E284" t="n">
        <x:v>2</x:v>
      </x:c>
      <x:c r="F284" t="n">
        <x:v>2</x:v>
      </x:c>
      <x:c r="G284" s="10" t="n">
        <x:v>0.5</x:v>
      </x:c>
      <x:c r="H284" s="10" t="n">
        <x:v>0</x:v>
      </x:c>
      <x:c r="I284" t="n">
        <x:v>0</x:v>
      </x:c>
      <x:c r="J284" s="6" t="n">
        <x:v>0</x:v>
      </x:c>
    </x:row>
    <x:row r="285">
      <x:c r="A285" t="str">
        <x:v>150</x:v>
      </x:c>
      <x:c r="B285" t="str">
        <x:v>Otro</x:v>
      </x:c>
      <x:c r="C285" t="n">
        <x:v>4</x:v>
      </x:c>
      <x:c r="D285" t="n">
        <x:v>3</x:v>
      </x:c>
      <x:c r="E285" t="n">
        <x:v>0</x:v>
      </x:c>
      <x:c r="F285" t="n">
        <x:v>0</x:v>
      </x:c>
      <x:c r="G285" s="10" t="n">
        <x:v>0</x:v>
      </x:c>
      <x:c r="H285" s="10" t="n">
        <x:v>0</x:v>
      </x:c>
      <x:c r="I285" t="n">
        <x:v>0</x:v>
      </x:c>
      <x:c r="J285" s="6" t="n">
        <x:v>0</x:v>
      </x:c>
    </x:row>
    <x:row r="286">
      <x:c r="A286" t="str">
        <x:v>dunlop</x:v>
      </x:c>
      <x:c r="B286" t="str">
        <x:v>Otro</x:v>
      </x:c>
      <x:c r="C286" t="n">
        <x:v>4</x:v>
      </x:c>
      <x:c r="D286" t="n">
        <x:v>2</x:v>
      </x:c>
      <x:c r="E286" t="n">
        <x:v>0</x:v>
      </x:c>
      <x:c r="F286" t="n">
        <x:v>0</x:v>
      </x:c>
      <x:c r="G286" s="10" t="n">
        <x:v>0</x:v>
      </x:c>
      <x:c r="H286" s="10" t="n">
        <x:v>0</x:v>
      </x:c>
      <x:c r="I286" t="n">
        <x:v>0</x:v>
      </x:c>
      <x:c r="J286" s="6" t="n">
        <x:v>0</x:v>
      </x:c>
    </x:row>
    <x:row r="287">
      <x:c r="A287" t="str">
        <x:v>235-50-r18-michelin-primacy-4-plus-101y</x:v>
      </x:c>
      <x:c r="B287" t="str">
        <x:v>Producto / URL</x:v>
      </x:c>
      <x:c r="C287" t="n">
        <x:v>4</x:v>
      </x:c>
      <x:c r="D287" t="n">
        <x:v>3</x:v>
      </x:c>
      <x:c r="E287" t="n">
        <x:v>0</x:v>
      </x:c>
      <x:c r="F287" t="n">
        <x:v>0</x:v>
      </x:c>
      <x:c r="G287" s="10" t="n">
        <x:v>0</x:v>
      </x:c>
      <x:c r="H287" s="10" t="n">
        <x:v>0</x:v>
      </x:c>
      <x:c r="I287" t="n">
        <x:v>0</x:v>
      </x:c>
      <x:c r="J287" s="6" t="n">
        <x:v>0</x:v>
      </x:c>
    </x:row>
    <x:row r="288">
      <x:c r="A288" t="str">
        <x:v>michelin 215</x:v>
      </x:c>
      <x:c r="B288" t="str">
        <x:v>Otro</x:v>
      </x:c>
      <x:c r="C288" t="n">
        <x:v>4</x:v>
      </x:c>
      <x:c r="D288" t="n">
        <x:v>4</x:v>
      </x:c>
      <x:c r="E288" t="n">
        <x:v>0</x:v>
      </x:c>
      <x:c r="F288" t="n">
        <x:v>0</x:v>
      </x:c>
      <x:c r="G288" s="10" t="n">
        <x:v>0</x:v>
      </x:c>
      <x:c r="H288" s="10" t="n">
        <x:v>0</x:v>
      </x:c>
      <x:c r="I288" t="n">
        <x:v>0</x:v>
      </x:c>
      <x:c r="J288" s="6" t="n">
        <x:v>0</x:v>
      </x:c>
    </x:row>
    <x:row r="289">
      <x:c r="A289" t="str">
        <x:v>R14</x:v>
      </x:c>
      <x:c r="B289" t="str">
        <x:v>Otro</x:v>
      </x:c>
      <x:c r="C289" t="n">
        <x:v>4</x:v>
      </x:c>
      <x:c r="D289" t="n">
        <x:v>1</x:v>
      </x:c>
      <x:c r="E289" t="n">
        <x:v>0</x:v>
      </x:c>
      <x:c r="F289" t="n">
        <x:v>0</x:v>
      </x:c>
      <x:c r="G289" s="10" t="n">
        <x:v>0</x:v>
      </x:c>
      <x:c r="H289" s="10" t="n">
        <x:v>0</x:v>
      </x:c>
      <x:c r="I289" t="n">
        <x:v>0</x:v>
      </x:c>
      <x:c r="J289" s="6" t="n">
        <x:v>0</x:v>
      </x:c>
    </x:row>
    <x:row r="290">
      <x:c r="A290" t="str">
        <x:v>175 70 14</x:v>
      </x:c>
      <x:c r="B290" t="str">
        <x:v>Medida</x:v>
      </x:c>
      <x:c r="C290" t="n">
        <x:v>4</x:v>
      </x:c>
      <x:c r="D290" t="n">
        <x:v>4</x:v>
      </x:c>
      <x:c r="E290" t="n">
        <x:v>5</x:v>
      </x:c>
      <x:c r="F290" t="n">
        <x:v>2</x:v>
      </x:c>
      <x:c r="G290" s="10" t="n">
        <x:v>1.25</x:v>
      </x:c>
      <x:c r="H290" s="10" t="n">
        <x:v>0</x:v>
      </x:c>
      <x:c r="I290" t="n">
        <x:v>0</x:v>
      </x:c>
      <x:c r="J290" s="6" t="n">
        <x:v>0</x:v>
      </x:c>
    </x:row>
    <x:row r="291">
      <x:c r="A291" t="str">
        <x:v>195 65 15</x:v>
      </x:c>
      <x:c r="B291" t="str">
        <x:v>Medida</x:v>
      </x:c>
      <x:c r="C291" t="n">
        <x:v>4</x:v>
      </x:c>
      <x:c r="D291" t="n">
        <x:v>4</x:v>
      </x:c>
      <x:c r="E291" t="n">
        <x:v>6</x:v>
      </x:c>
      <x:c r="F291" t="n">
        <x:v>1</x:v>
      </x:c>
      <x:c r="G291" s="10" t="n">
        <x:v>1.5</x:v>
      </x:c>
      <x:c r="H291" s="10" t="n">
        <x:v>0</x:v>
      </x:c>
      <x:c r="I291" t="n">
        <x:v>0</x:v>
      </x:c>
      <x:c r="J291" s="6" t="n">
        <x:v>0</x:v>
      </x:c>
    </x:row>
    <x:row r="292">
      <x:c r="A292" t="str">
        <x:v>285-60-r18-bfgoodrich-trail-terrain-ta-116-h</x:v>
      </x:c>
      <x:c r="B292" t="str">
        <x:v>Producto / URL</x:v>
      </x:c>
      <x:c r="C292" t="n">
        <x:v>4</x:v>
      </x:c>
      <x:c r="D292" t="n">
        <x:v>4</x:v>
      </x:c>
      <x:c r="E292" t="n">
        <x:v>0</x:v>
      </x:c>
      <x:c r="F292" t="n">
        <x:v>0</x:v>
      </x:c>
      <x:c r="G292" s="10" t="n">
        <x:v>0</x:v>
      </x:c>
      <x:c r="H292" s="10" t="n">
        <x:v>0</x:v>
      </x:c>
      <x:c r="I292" t="n">
        <x:v>0</x:v>
      </x:c>
      <x:c r="J292" s="6" t="n">
        <x:v>0</x:v>
      </x:c>
    </x:row>
    <x:row r="293">
      <x:c r="A293" t="str">
        <x:v>235 55 r17</x:v>
      </x:c>
      <x:c r="B293" t="str">
        <x:v>Medida</x:v>
      </x:c>
      <x:c r="C293" t="n">
        <x:v>4</x:v>
      </x:c>
      <x:c r="D293" t="n">
        <x:v>3</x:v>
      </x:c>
      <x:c r="E293" t="n">
        <x:v>1</x:v>
      </x:c>
      <x:c r="F293" t="n">
        <x:v>1</x:v>
      </x:c>
      <x:c r="G293" s="10" t="n">
        <x:v>0.25</x:v>
      </x:c>
      <x:c r="H293" s="10" t="n">
        <x:v>0</x:v>
      </x:c>
      <x:c r="I293" t="n">
        <x:v>0</x:v>
      </x:c>
      <x:c r="J293" s="6" t="n">
        <x:v>0</x:v>
      </x:c>
    </x:row>
    <x:row r="294">
      <x:c r="A294" t="str">
        <x:v>pirelli</x:v>
      </x:c>
      <x:c r="B294" t="str">
        <x:v>Marca</x:v>
      </x:c>
      <x:c r="C294" t="n">
        <x:v>4</x:v>
      </x:c>
      <x:c r="D294" t="n">
        <x:v>2</x:v>
      </x:c>
      <x:c r="E294" t="n">
        <x:v>1</x:v>
      </x:c>
      <x:c r="F294" t="n">
        <x:v>1</x:v>
      </x:c>
      <x:c r="G294" s="10" t="n">
        <x:v>0.25</x:v>
      </x:c>
      <x:c r="H294" s="10" t="n">
        <x:v>0</x:v>
      </x:c>
      <x:c r="I294" t="n">
        <x:v>0</x:v>
      </x:c>
      <x:c r="J294" s="6" t="n">
        <x:v>0</x:v>
      </x:c>
    </x:row>
    <x:row r="295">
      <x:c r="A295" t="str">
        <x:v>235 60 17</x:v>
      </x:c>
      <x:c r="B295" t="str">
        <x:v>Medida</x:v>
      </x:c>
      <x:c r="C295" t="n">
        <x:v>4</x:v>
      </x:c>
      <x:c r="D295" t="n">
        <x:v>3</x:v>
      </x:c>
      <x:c r="E295" t="n">
        <x:v>5</x:v>
      </x:c>
      <x:c r="F295" t="n">
        <x:v>2</x:v>
      </x:c>
      <x:c r="G295" s="10" t="n">
        <x:v>1.25</x:v>
      </x:c>
      <x:c r="H295" s="10" t="n">
        <x:v>0</x:v>
      </x:c>
      <x:c r="I295" t="n">
        <x:v>0</x:v>
      </x:c>
      <x:c r="J295" s="6" t="n">
        <x:v>0</x:v>
      </x:c>
    </x:row>
    <x:row r="296">
      <x:c r="A296" t="str">
        <x:v>165 70 14</x:v>
      </x:c>
      <x:c r="B296" t="str">
        <x:v>Medida</x:v>
      </x:c>
      <x:c r="C296" t="n">
        <x:v>4</x:v>
      </x:c>
      <x:c r="D296" t="n">
        <x:v>3</x:v>
      </x:c>
      <x:c r="E296" t="n">
        <x:v>0</x:v>
      </x:c>
      <x:c r="F296" t="n">
        <x:v>0</x:v>
      </x:c>
      <x:c r="G296" s="10" t="n">
        <x:v>0</x:v>
      </x:c>
      <x:c r="H296" s="10" t="n">
        <x:v>0</x:v>
      </x:c>
      <x:c r="I296" t="n">
        <x:v>0</x:v>
      </x:c>
      <x:c r="J296" s="6" t="n">
        <x:v>0</x:v>
      </x:c>
    </x:row>
    <x:row r="297">
      <x:c r="A297" t="str">
        <x:v>17-60-160</x:v>
      </x:c>
      <x:c r="B297" t="str">
        <x:v>Otro</x:v>
      </x:c>
      <x:c r="C297" t="n">
        <x:v>4</x:v>
      </x:c>
      <x:c r="D297" t="n">
        <x:v>2</x:v>
      </x:c>
      <x:c r="E297" t="n">
        <x:v>0</x:v>
      </x:c>
      <x:c r="F297" t="n">
        <x:v>0</x:v>
      </x:c>
      <x:c r="G297" s="10" t="n">
        <x:v>0</x:v>
      </x:c>
      <x:c r="H297" s="10" t="n">
        <x:v>0</x:v>
      </x:c>
      <x:c r="I297" t="n">
        <x:v>0</x:v>
      </x:c>
      <x:c r="J297" s="6" t="n">
        <x:v>0</x:v>
      </x:c>
    </x:row>
    <x:row r="298">
      <x:c r="A298" t="str">
        <x:v>265 75 r16</x:v>
      </x:c>
      <x:c r="B298" t="str">
        <x:v>Medida</x:v>
      </x:c>
      <x:c r="C298" t="n">
        <x:v>4</x:v>
      </x:c>
      <x:c r="D298" t="n">
        <x:v>2</x:v>
      </x:c>
      <x:c r="E298" t="n">
        <x:v>1</x:v>
      </x:c>
      <x:c r="F298" t="n">
        <x:v>1</x:v>
      </x:c>
      <x:c r="G298" s="10" t="n">
        <x:v>0.25</x:v>
      </x:c>
      <x:c r="H298" s="10" t="n">
        <x:v>0</x:v>
      </x:c>
      <x:c r="I298" t="n">
        <x:v>0</x:v>
      </x:c>
      <x:c r="J298" s="6" t="n">
        <x:v>0</x:v>
      </x:c>
    </x:row>
    <x:row r="299">
      <x:c r="A299" t="str">
        <x:v>235-50-r19-michelin-latitude-sport-3-99w</x:v>
      </x:c>
      <x:c r="B299" t="str">
        <x:v>Producto / URL</x:v>
      </x:c>
      <x:c r="C299" t="n">
        <x:v>3</x:v>
      </x:c>
      <x:c r="D299" t="n">
        <x:v>3</x:v>
      </x:c>
      <x:c r="E299" t="n">
        <x:v>0</x:v>
      </x:c>
      <x:c r="F299" t="n">
        <x:v>0</x:v>
      </x:c>
      <x:c r="G299" s="10" t="n">
        <x:v>0</x:v>
      </x:c>
      <x:c r="H299" s="10" t="n">
        <x:v>0</x:v>
      </x:c>
      <x:c r="I299" t="n">
        <x:v>0</x:v>
      </x:c>
      <x:c r="J299" s="6" t="n">
        <x:v>0</x:v>
      </x:c>
    </x:row>
    <x:row r="300">
      <x:c r="A300" t="str">
        <x:v>235 65 17</x:v>
      </x:c>
      <x:c r="B300" t="str">
        <x:v>Medida</x:v>
      </x:c>
      <x:c r="C300" t="n">
        <x:v>3</x:v>
      </x:c>
      <x:c r="D300" t="n">
        <x:v>3</x:v>
      </x:c>
      <x:c r="E300" t="n">
        <x:v>0</x:v>
      </x:c>
      <x:c r="F300" t="n">
        <x:v>0</x:v>
      </x:c>
      <x:c r="G300" s="10" t="n">
        <x:v>0</x:v>
      </x:c>
      <x:c r="H300" s="10" t="n">
        <x:v>0</x:v>
      </x:c>
      <x:c r="I300" t="n">
        <x:v>0</x:v>
      </x:c>
      <x:c r="J300" s="6" t="n">
        <x:v>0</x:v>
      </x:c>
    </x:row>
    <x:row r="301">
      <x:c r="A301" t="str">
        <x:v>265 65 17 bf goodrich</x:v>
      </x:c>
      <x:c r="B301" t="str">
        <x:v>Medida</x:v>
      </x:c>
      <x:c r="C301" t="n">
        <x:v>3</x:v>
      </x:c>
      <x:c r="D301" t="n">
        <x:v>1</x:v>
      </x:c>
      <x:c r="E301" t="n">
        <x:v>1</x:v>
      </x:c>
      <x:c r="F301" t="n">
        <x:v>1</x:v>
      </x:c>
      <x:c r="G301" s="10" t="n">
        <x:v>0.3333</x:v>
      </x:c>
      <x:c r="H301" s="10" t="n">
        <x:v>0</x:v>
      </x:c>
      <x:c r="I301" t="n">
        <x:v>0</x:v>
      </x:c>
      <x:c r="J301" s="6" t="n">
        <x:v>0</x:v>
      </x:c>
    </x:row>
    <x:row r="302">
      <x:c r="A302" t="str">
        <x:v>165 70 13</x:v>
      </x:c>
      <x:c r="B302" t="str">
        <x:v>Medida</x:v>
      </x:c>
      <x:c r="C302" t="n">
        <x:v>3</x:v>
      </x:c>
      <x:c r="D302" t="n">
        <x:v>3</x:v>
      </x:c>
      <x:c r="E302" t="n">
        <x:v>1</x:v>
      </x:c>
      <x:c r="F302" t="n">
        <x:v>1</x:v>
      </x:c>
      <x:c r="G302" s="10" t="n">
        <x:v>0.3333</x:v>
      </x:c>
      <x:c r="H302" s="10" t="n">
        <x:v>0</x:v>
      </x:c>
      <x:c r="I302" t="n">
        <x:v>0</x:v>
      </x:c>
      <x:c r="J302" s="6" t="n">
        <x:v>0</x:v>
      </x:c>
    </x:row>
    <x:row r="303">
      <x:c r="A303" t="str">
        <x:v>175 50 15</x:v>
      </x:c>
      <x:c r="B303" t="str">
        <x:v>Medida</x:v>
      </x:c>
      <x:c r="C303" t="n">
        <x:v>3</x:v>
      </x:c>
      <x:c r="D303" t="n">
        <x:v>2</x:v>
      </x:c>
      <x:c r="E303" t="n">
        <x:v>0</x:v>
      </x:c>
      <x:c r="F303" t="n">
        <x:v>0</x:v>
      </x:c>
      <x:c r="G303" s="10" t="n">
        <x:v>0</x:v>
      </x:c>
      <x:c r="H303" s="10" t="n">
        <x:v>0</x:v>
      </x:c>
      <x:c r="I303" t="n">
        <x:v>0</x:v>
      </x:c>
      <x:c r="J303" s="6" t="n">
        <x:v>0</x:v>
      </x:c>
    </x:row>
    <x:row r="304">
      <x:c r="A304" t="str">
        <x:v>MR-0108</x:v>
      </x:c>
      <x:c r="B304" t="str">
        <x:v>Otro</x:v>
      </x:c>
      <x:c r="C304" t="n">
        <x:v>3</x:v>
      </x:c>
      <x:c r="D304" t="n">
        <x:v>3</x:v>
      </x:c>
      <x:c r="E304" t="n">
        <x:v>2</x:v>
      </x:c>
      <x:c r="F304" t="n">
        <x:v>1</x:v>
      </x:c>
      <x:c r="G304" s="10" t="n">
        <x:v>0.6667000000000001</x:v>
      </x:c>
      <x:c r="H304" s="10" t="n">
        <x:v>0</x:v>
      </x:c>
      <x:c r="I304" t="n">
        <x:v>0</x:v>
      </x:c>
      <x:c r="J304" s="6" t="n">
        <x:v>0</x:v>
      </x:c>
    </x:row>
    <x:row r="305">
      <x:c r="A305" t="str">
        <x:v>285 75 16</x:v>
      </x:c>
      <x:c r="B305" t="str">
        <x:v>Medida</x:v>
      </x:c>
      <x:c r="C305" t="n">
        <x:v>3</x:v>
      </x:c>
      <x:c r="D305" t="n">
        <x:v>2</x:v>
      </x:c>
      <x:c r="E305" t="n">
        <x:v>4</x:v>
      </x:c>
      <x:c r="F305" t="n">
        <x:v>1</x:v>
      </x:c>
      <x:c r="G305" s="10" t="n">
        <x:v>1.3333000000000002</x:v>
      </x:c>
      <x:c r="H305" s="10" t="n">
        <x:v>0</x:v>
      </x:c>
      <x:c r="I305" t="n">
        <x:v>0</x:v>
      </x:c>
      <x:c r="J305" s="6" t="n">
        <x:v>0</x:v>
      </x:c>
    </x:row>
    <x:row r="306">
      <x:c r="A306" t="str">
        <x:v>205 55 17 michelin</x:v>
      </x:c>
      <x:c r="B306" t="str">
        <x:v>Medida</x:v>
      </x:c>
      <x:c r="C306" t="n">
        <x:v>3</x:v>
      </x:c>
      <x:c r="D306" t="n">
        <x:v>2</x:v>
      </x:c>
      <x:c r="E306" t="n">
        <x:v>0</x:v>
      </x:c>
      <x:c r="F306" t="n">
        <x:v>0</x:v>
      </x:c>
      <x:c r="G306" s="10" t="n">
        <x:v>0</x:v>
      </x:c>
      <x:c r="H306" s="10" t="n">
        <x:v>0</x:v>
      </x:c>
      <x:c r="I306" t="n">
        <x:v>0</x:v>
      </x:c>
      <x:c r="J306" s="6" t="n">
        <x:v>0</x:v>
      </x:c>
    </x:row>
    <x:row r="307">
      <x:c r="A307" t="str">
        <x:v>155 r 15</x:v>
      </x:c>
      <x:c r="B307" t="str">
        <x:v>Otro</x:v>
      </x:c>
      <x:c r="C307" t="n">
        <x:v>3</x:v>
      </x:c>
      <x:c r="D307" t="n">
        <x:v>2</x:v>
      </x:c>
      <x:c r="E307" t="n">
        <x:v>0</x:v>
      </x:c>
      <x:c r="F307" t="n">
        <x:v>0</x:v>
      </x:c>
      <x:c r="G307" s="10" t="n">
        <x:v>0</x:v>
      </x:c>
      <x:c r="H307" s="10" t="n">
        <x:v>0</x:v>
      </x:c>
      <x:c r="I307" t="n">
        <x:v>0</x:v>
      </x:c>
      <x:c r="J307" s="6" t="n">
        <x:v>0</x:v>
      </x:c>
    </x:row>
    <x:row r="308">
      <x:c r="A308" t="str">
        <x:v>205 155 16</x:v>
      </x:c>
      <x:c r="B308" t="str">
        <x:v>Otro</x:v>
      </x:c>
      <x:c r="C308" t="n">
        <x:v>3</x:v>
      </x:c>
      <x:c r="D308" t="n">
        <x:v>2</x:v>
      </x:c>
      <x:c r="E308" t="n">
        <x:v>0</x:v>
      </x:c>
      <x:c r="F308" t="n">
        <x:v>0</x:v>
      </x:c>
      <x:c r="G308" s="10" t="n">
        <x:v>0</x:v>
      </x:c>
      <x:c r="H308" s="10" t="n">
        <x:v>0</x:v>
      </x:c>
      <x:c r="I308" t="n">
        <x:v>0</x:v>
      </x:c>
      <x:c r="J308" s="6" t="n">
        <x:v>0</x:v>
      </x:c>
    </x:row>
    <x:row r="309">
      <x:c r="A309" t="str">
        <x:v>promo-saracho</x:v>
      </x:c>
      <x:c r="B309" t="str">
        <x:v>Otro</x:v>
      </x:c>
      <x:c r="C309" t="n">
        <x:v>3</x:v>
      </x:c>
      <x:c r="D309" t="n">
        <x:v>3</x:v>
      </x:c>
      <x:c r="E309" t="n">
        <x:v>0</x:v>
      </x:c>
      <x:c r="F309" t="n">
        <x:v>0</x:v>
      </x:c>
      <x:c r="G309" s="10" t="n">
        <x:v>0</x:v>
      </x:c>
      <x:c r="H309" s="10" t="n">
        <x:v>0</x:v>
      </x:c>
      <x:c r="I309" t="n">
        <x:v>0</x:v>
      </x:c>
      <x:c r="J309" s="6" t="n">
        <x:v>0</x:v>
      </x:c>
    </x:row>
    <x:row r="310">
      <x:c r="A310" t="str">
        <x:v>22616</x:v>
      </x:c>
      <x:c r="B310" t="str">
        <x:v>Otro</x:v>
      </x:c>
      <x:c r="C310" t="n">
        <x:v>3</x:v>
      </x:c>
      <x:c r="D310" t="n">
        <x:v>2</x:v>
      </x:c>
      <x:c r="E310" t="n">
        <x:v>1</x:v>
      </x:c>
      <x:c r="F310" t="n">
        <x:v>1</x:v>
      </x:c>
      <x:c r="G310" s="10" t="n">
        <x:v>0.3333</x:v>
      </x:c>
      <x:c r="H310" s="10" t="n">
        <x:v>0</x:v>
      </x:c>
      <x:c r="I310" t="n">
        <x:v>0</x:v>
      </x:c>
      <x:c r="J310" s="6" t="n">
        <x:v>0</x:v>
      </x:c>
    </x:row>
    <x:row r="311">
      <x:c r="A311" t="str">
        <x:v>265 70 17 bf goodrich all terrain</x:v>
      </x:c>
      <x:c r="B311" t="str">
        <x:v>Medida</x:v>
      </x:c>
      <x:c r="C311" t="n">
        <x:v>3</x:v>
      </x:c>
      <x:c r="D311" t="n">
        <x:v>1</x:v>
      </x:c>
      <x:c r="E311" t="n">
        <x:v>0</x:v>
      </x:c>
      <x:c r="F311" t="n">
        <x:v>0</x:v>
      </x:c>
      <x:c r="G311" s="10" t="n">
        <x:v>0</x:v>
      </x:c>
      <x:c r="H311" s="10" t="n">
        <x:v>0</x:v>
      </x:c>
      <x:c r="I311" t="n">
        <x:v>0</x:v>
      </x:c>
      <x:c r="J311" s="6" t="n">
        <x:v>0</x:v>
      </x:c>
    </x:row>
    <x:row r="312">
      <x:c r="A312" t="str">
        <x:v>bf goodrich285 65 18</x:v>
      </x:c>
      <x:c r="B312" t="str">
        <x:v>Medida</x:v>
      </x:c>
      <x:c r="C312" t="n">
        <x:v>3</x:v>
      </x:c>
      <x:c r="D312" t="n">
        <x:v>1</x:v>
      </x:c>
      <x:c r="E312" t="n">
        <x:v>4</x:v>
      </x:c>
      <x:c r="F312" t="n">
        <x:v>1</x:v>
      </x:c>
      <x:c r="G312" s="10" t="n">
        <x:v>1.3333000000000002</x:v>
      </x:c>
      <x:c r="H312" s="10" t="n">
        <x:v>0</x:v>
      </x:c>
      <x:c r="I312" t="n">
        <x:v>0</x:v>
      </x:c>
      <x:c r="J312" s="6" t="n">
        <x:v>0</x:v>
      </x:c>
    </x:row>
    <x:row r="313">
      <x:c r="A313" t="str">
        <x:v>235 60 16</x:v>
      </x:c>
      <x:c r="B313" t="str">
        <x:v>Medida</x:v>
      </x:c>
      <x:c r="C313" t="n">
        <x:v>3</x:v>
      </x:c>
      <x:c r="D313" t="n">
        <x:v>2</x:v>
      </x:c>
      <x:c r="E313" t="n">
        <x:v>0</x:v>
      </x:c>
      <x:c r="F313" t="n">
        <x:v>0</x:v>
      </x:c>
      <x:c r="G313" s="10" t="n">
        <x:v>0</x:v>
      </x:c>
      <x:c r="H313" s="10" t="n">
        <x:v>0</x:v>
      </x:c>
      <x:c r="I313" t="n">
        <x:v>0</x:v>
      </x:c>
      <x:c r="J313" s="6" t="n">
        <x:v>0</x:v>
      </x:c>
    </x:row>
    <x:row r="314">
      <x:c r="A314" t="str">
        <x:v>155 65 13</x:v>
      </x:c>
      <x:c r="B314" t="str">
        <x:v>Medida</x:v>
      </x:c>
      <x:c r="C314" t="n">
        <x:v>3</x:v>
      </x:c>
      <x:c r="D314" t="n">
        <x:v>1</x:v>
      </x:c>
      <x:c r="E314" t="n">
        <x:v>0</x:v>
      </x:c>
      <x:c r="F314" t="n">
        <x:v>0</x:v>
      </x:c>
      <x:c r="G314" s="10" t="n">
        <x:v>0</x:v>
      </x:c>
      <x:c r="H314" s="10" t="n">
        <x:v>0</x:v>
      </x:c>
      <x:c r="I314" t="n">
        <x:v>0</x:v>
      </x:c>
      <x:c r="J314" s="6" t="n">
        <x:v>0</x:v>
      </x:c>
    </x:row>
    <x:row r="315">
      <x:c r="A315" t="str">
        <x:v>225 55 r19</x:v>
      </x:c>
      <x:c r="B315" t="str">
        <x:v>Medida</x:v>
      </x:c>
      <x:c r="C315" t="n">
        <x:v>3</x:v>
      </x:c>
      <x:c r="D315" t="n">
        <x:v>1</x:v>
      </x:c>
      <x:c r="E315" t="n">
        <x:v>0</x:v>
      </x:c>
      <x:c r="F315" t="n">
        <x:v>0</x:v>
      </x:c>
      <x:c r="G315" s="10" t="n">
        <x:v>0</x:v>
      </x:c>
      <x:c r="H315" s="10" t="n">
        <x:v>0</x:v>
      </x:c>
      <x:c r="I315" t="n">
        <x:v>0</x:v>
      </x:c>
      <x:c r="J315" s="6" t="n">
        <x:v>0</x:v>
      </x:c>
    </x:row>
    <x:row r="316">
      <x:c r="A316" t="str">
        <x:v>150 70 18</x:v>
      </x:c>
      <x:c r="B316" t="str">
        <x:v>Medida</x:v>
      </x:c>
      <x:c r="C316" t="n">
        <x:v>3</x:v>
      </x:c>
      <x:c r="D316" t="n">
        <x:v>3</x:v>
      </x:c>
      <x:c r="E316" t="n">
        <x:v>1</x:v>
      </x:c>
      <x:c r="F316" t="n">
        <x:v>1</x:v>
      </x:c>
      <x:c r="G316" s="10" t="n">
        <x:v>0.3333</x:v>
      </x:c>
      <x:c r="H316" s="10" t="n">
        <x:v>0</x:v>
      </x:c>
      <x:c r="I316" t="n">
        <x:v>0</x:v>
      </x:c>
      <x:c r="J316" s="6" t="n">
        <x:v>0</x:v>
      </x:c>
    </x:row>
    <x:row r="317">
      <x:c r="A317" t="str">
        <x:v>265-65-r17-116-113s-all-terrain-t-a-ko3-lrd-rwl-go-1</x:v>
      </x:c>
      <x:c r="B317" t="str">
        <x:v>Producto / URL</x:v>
      </x:c>
      <x:c r="C317" t="n">
        <x:v>3</x:v>
      </x:c>
      <x:c r="D317" t="n">
        <x:v>3</x:v>
      </x:c>
      <x:c r="E317" t="n">
        <x:v>0</x:v>
      </x:c>
      <x:c r="F317" t="n">
        <x:v>0</x:v>
      </x:c>
      <x:c r="G317" s="10" t="n">
        <x:v>0</x:v>
      </x:c>
      <x:c r="H317" s="10" t="n">
        <x:v>0</x:v>
      </x:c>
      <x:c r="I317" t="n">
        <x:v>0</x:v>
      </x:c>
      <x:c r="J317" s="6" t="n">
        <x:v>0</x:v>
      </x:c>
    </x:row>
    <x:row r="318">
      <x:c r="A318" t="str">
        <x:v>205 40 17</x:v>
      </x:c>
      <x:c r="B318" t="str">
        <x:v>Medida</x:v>
      </x:c>
      <x:c r="C318" t="n">
        <x:v>3</x:v>
      </x:c>
      <x:c r="D318" t="n">
        <x:v>1</x:v>
      </x:c>
      <x:c r="E318" t="n">
        <x:v>13</x:v>
      </x:c>
      <x:c r="F318" t="n">
        <x:v>1</x:v>
      </x:c>
      <x:c r="G318" s="10" t="n">
        <x:v>4.3332999999999995</x:v>
      </x:c>
      <x:c r="H318" s="10" t="n">
        <x:v>0</x:v>
      </x:c>
      <x:c r="I318" t="n">
        <x:v>0</x:v>
      </x:c>
      <x:c r="J318" s="6" t="n">
        <x:v>0</x:v>
      </x:c>
    </x:row>
    <x:row r="319">
      <x:c r="A319" t="str">
        <x:v>255 60 15</x:v>
      </x:c>
      <x:c r="B319" t="str">
        <x:v>Medida</x:v>
      </x:c>
      <x:c r="C319" t="n">
        <x:v>3</x:v>
      </x:c>
      <x:c r="D319" t="n">
        <x:v>1</x:v>
      </x:c>
      <x:c r="E319" t="n">
        <x:v>7</x:v>
      </x:c>
      <x:c r="F319" t="n">
        <x:v>1</x:v>
      </x:c>
      <x:c r="G319" s="10" t="n">
        <x:v>2.3333</x:v>
      </x:c>
      <x:c r="H319" s="10" t="n">
        <x:v>0</x:v>
      </x:c>
      <x:c r="I319" t="n">
        <x:v>0</x:v>
      </x:c>
      <x:c r="J319" s="6" t="n">
        <x:v>0</x:v>
      </x:c>
    </x:row>
    <x:row r="320">
      <x:c r="A320" t="str">
        <x:v>michelin commander 150</x:v>
      </x:c>
      <x:c r="B320" t="str">
        <x:v>Otro</x:v>
      </x:c>
      <x:c r="C320" t="n">
        <x:v>3</x:v>
      </x:c>
      <x:c r="D320" t="n">
        <x:v>1</x:v>
      </x:c>
      <x:c r="E320" t="n">
        <x:v>0</x:v>
      </x:c>
      <x:c r="F320" t="n">
        <x:v>0</x:v>
      </x:c>
      <x:c r="G320" s="10" t="n">
        <x:v>0</x:v>
      </x:c>
      <x:c r="H320" s="10" t="n">
        <x:v>0</x:v>
      </x:c>
      <x:c r="I320" t="n">
        <x:v>0</x:v>
      </x:c>
      <x:c r="J320" s="6" t="n">
        <x:v>0</x:v>
      </x:c>
    </x:row>
    <x:row r="321">
      <x:c r="A321" t="str">
        <x:v>245 40 20</x:v>
      </x:c>
      <x:c r="B321" t="str">
        <x:v>Medida</x:v>
      </x:c>
      <x:c r="C321" t="n">
        <x:v>3</x:v>
      </x:c>
      <x:c r="D321" t="n">
        <x:v>2</x:v>
      </x:c>
      <x:c r="E321" t="n">
        <x:v>0</x:v>
      </x:c>
      <x:c r="F321" t="n">
        <x:v>0</x:v>
      </x:c>
      <x:c r="G321" s="10" t="n">
        <x:v>0</x:v>
      </x:c>
      <x:c r="H321" s="10" t="n">
        <x:v>0</x:v>
      </x:c>
      <x:c r="I321" t="n">
        <x:v>0</x:v>
      </x:c>
      <x:c r="J321" s="6" t="n">
        <x:v>0</x:v>
      </x:c>
    </x:row>
    <x:row r="322">
      <x:c r="A322" t="str">
        <x:v>225-40-zr18-michelin-pilot-super-sport-bmw-88-y-</x:v>
      </x:c>
      <x:c r="B322" t="str">
        <x:v>Otro</x:v>
      </x:c>
      <x:c r="C322" t="n">
        <x:v>3</x:v>
      </x:c>
      <x:c r="D322" t="n">
        <x:v>2</x:v>
      </x:c>
      <x:c r="E322" t="n">
        <x:v>0</x:v>
      </x:c>
      <x:c r="F322" t="n">
        <x:v>0</x:v>
      </x:c>
      <x:c r="G322" s="10" t="n">
        <x:v>0</x:v>
      </x:c>
      <x:c r="H322" s="10" t="n">
        <x:v>0</x:v>
      </x:c>
      <x:c r="I322" t="n">
        <x:v>0</x:v>
      </x:c>
      <x:c r="J322" s="6" t="n">
        <x:v>0</x:v>
      </x:c>
    </x:row>
    <x:row r="323">
      <x:c r="A323" t="str">
        <x:v>175 65 15</x:v>
      </x:c>
      <x:c r="B323" t="str">
        <x:v>Medida</x:v>
      </x:c>
      <x:c r="C323" t="n">
        <x:v>3</x:v>
      </x:c>
      <x:c r="D323" t="n">
        <x:v>3</x:v>
      </x:c>
      <x:c r="E323" t="n">
        <x:v>0</x:v>
      </x:c>
      <x:c r="F323" t="n">
        <x:v>0</x:v>
      </x:c>
      <x:c r="G323" s="10" t="n">
        <x:v>0</x:v>
      </x:c>
      <x:c r="H323" s="10" t="n">
        <x:v>0</x:v>
      </x:c>
      <x:c r="I323" t="n">
        <x:v>0</x:v>
      </x:c>
      <x:c r="J323" s="6" t="n">
        <x:v>0</x:v>
      </x:c>
    </x:row>
    <x:row r="324">
      <x:c r="A324" t="str">
        <x:v>neumáticos 185 60 r14</x:v>
      </x:c>
      <x:c r="B324" t="str">
        <x:v>Medida</x:v>
      </x:c>
      <x:c r="C324" t="n">
        <x:v>3</x:v>
      </x:c>
      <x:c r="D324" t="n">
        <x:v>2</x:v>
      </x:c>
      <x:c r="E324" t="n">
        <x:v>3</x:v>
      </x:c>
      <x:c r="F324" t="n">
        <x:v>1</x:v>
      </x:c>
      <x:c r="G324" s="10" t="n">
        <x:v>1</x:v>
      </x:c>
      <x:c r="H324" s="10" t="n">
        <x:v>0</x:v>
      </x:c>
      <x:c r="I324" t="n">
        <x:v>0</x:v>
      </x:c>
      <x:c r="J324" s="6" t="n">
        <x:v>0</x:v>
      </x:c>
    </x:row>
    <x:row r="325">
      <x:c r="A325" t="str">
        <x:v>779303</x:v>
      </x:c>
      <x:c r="B325" t="str">
        <x:v>Otro</x:v>
      </x:c>
      <x:c r="C325" t="n">
        <x:v>3</x:v>
      </x:c>
      <x:c r="D325" t="n">
        <x:v>2</x:v>
      </x:c>
      <x:c r="E325" t="n">
        <x:v>7</x:v>
      </x:c>
      <x:c r="F325" t="n">
        <x:v>2</x:v>
      </x:c>
      <x:c r="G325" s="10" t="n">
        <x:v>2.3333</x:v>
      </x:c>
      <x:c r="H325" s="10" t="n">
        <x:v>0</x:v>
      </x:c>
      <x:c r="I325" t="n">
        <x:v>0</x:v>
      </x:c>
      <x:c r="J325" s="6" t="n">
        <x:v>0</x:v>
      </x:c>
    </x:row>
    <x:row r="326">
      <x:c r="A326" t="str">
        <x:v>245 60 r16</x:v>
      </x:c>
      <x:c r="B326" t="str">
        <x:v>Medida</x:v>
      </x:c>
      <x:c r="C326" t="n">
        <x:v>3</x:v>
      </x:c>
      <x:c r="D326" t="n">
        <x:v>2</x:v>
      </x:c>
      <x:c r="E326" t="n">
        <x:v>0</x:v>
      </x:c>
      <x:c r="F326" t="n">
        <x:v>0</x:v>
      </x:c>
      <x:c r="G326" s="10" t="n">
        <x:v>0</x:v>
      </x:c>
      <x:c r="H326" s="10" t="n">
        <x:v>0</x:v>
      </x:c>
      <x:c r="I326" t="n">
        <x:v>0</x:v>
      </x:c>
      <x:c r="J326" s="6" t="n">
        <x:v>0</x:v>
      </x:c>
    </x:row>
    <x:row r="327">
      <x:c r="A327" t="str">
        <x:v>205-55-r16-michelin-primacy-4-plus-91v</x:v>
      </x:c>
      <x:c r="B327" t="str">
        <x:v>Producto / URL</x:v>
      </x:c>
      <x:c r="C327" t="n">
        <x:v>3</x:v>
      </x:c>
      <x:c r="D327" t="n">
        <x:v>1</x:v>
      </x:c>
      <x:c r="E327" t="n">
        <x:v>0</x:v>
      </x:c>
      <x:c r="F327" t="n">
        <x:v>0</x:v>
      </x:c>
      <x:c r="G327" s="10" t="n">
        <x:v>0</x:v>
      </x:c>
      <x:c r="H327" s="10" t="n">
        <x:v>0</x:v>
      </x:c>
      <x:c r="I327" t="n">
        <x:v>0</x:v>
      </x:c>
      <x:c r="J327" s="6" t="n">
        <x:v>0</x:v>
      </x:c>
    </x:row>
    <x:row r="328">
      <x:c r="A328" t="str">
        <x:v>x2</x:v>
      </x:c>
      <x:c r="B328" t="str">
        <x:v>Otro</x:v>
      </x:c>
      <x:c r="C328" t="n">
        <x:v>3</x:v>
      </x:c>
      <x:c r="D328" t="n">
        <x:v>3</x:v>
      </x:c>
      <x:c r="E328" t="n">
        <x:v>1</x:v>
      </x:c>
      <x:c r="F328" t="n">
        <x:v>1</x:v>
      </x:c>
      <x:c r="G328" s="10" t="n">
        <x:v>0.3333</x:v>
      </x:c>
      <x:c r="H328" s="10" t="n">
        <x:v>0</x:v>
      </x:c>
      <x:c r="I328" t="n">
        <x:v>0</x:v>
      </x:c>
      <x:c r="J328" s="6" t="n">
        <x:v>0</x:v>
      </x:c>
    </x:row>
    <x:row r="329">
      <x:c r="A329" t="str">
        <x:v>bfgoodrich r16</x:v>
      </x:c>
      <x:c r="B329" t="str">
        <x:v>Otro</x:v>
      </x:c>
      <x:c r="C329" t="n">
        <x:v>3</x:v>
      </x:c>
      <x:c r="D329" t="n">
        <x:v>1</x:v>
      </x:c>
      <x:c r="E329" t="n">
        <x:v>1</x:v>
      </x:c>
      <x:c r="F329" t="n">
        <x:v>1</x:v>
      </x:c>
      <x:c r="G329" s="10" t="n">
        <x:v>0.3333</x:v>
      </x:c>
      <x:c r="H329" s="10" t="n">
        <x:v>0</x:v>
      </x:c>
      <x:c r="I329" t="n">
        <x:v>0</x:v>
      </x:c>
      <x:c r="J329" s="6" t="n">
        <x:v>0</x:v>
      </x:c>
    </x:row>
    <x:row r="330">
      <x:c r="A330" t="str">
        <x:v>135-r15-michelin-zx-72s</x:v>
      </x:c>
      <x:c r="B330" t="str">
        <x:v>Otro</x:v>
      </x:c>
      <x:c r="C330" t="n">
        <x:v>3</x:v>
      </x:c>
      <x:c r="D330" t="n">
        <x:v>2</x:v>
      </x:c>
      <x:c r="E330" t="n">
        <x:v>0</x:v>
      </x:c>
      <x:c r="F330" t="n">
        <x:v>0</x:v>
      </x:c>
      <x:c r="G330" s="10" t="n">
        <x:v>0</x:v>
      </x:c>
      <x:c r="H330" s="10" t="n">
        <x:v>0</x:v>
      </x:c>
      <x:c r="I330" t="n">
        <x:v>0</x:v>
      </x:c>
      <x:c r="J330" s="6" t="n">
        <x:v>0</x:v>
      </x:c>
    </x:row>
    <x:row r="331">
      <x:c r="A331" t="str">
        <x:v>sumaxx 245 70 r16 all terrain</x:v>
      </x:c>
      <x:c r="B331" t="str">
        <x:v>Medida</x:v>
      </x:c>
      <x:c r="C331" t="n">
        <x:v>3</x:v>
      </x:c>
      <x:c r="D331" t="n">
        <x:v>2</x:v>
      </x:c>
      <x:c r="E331" t="n">
        <x:v>0</x:v>
      </x:c>
      <x:c r="F331" t="n">
        <x:v>0</x:v>
      </x:c>
      <x:c r="G331" s="10" t="n">
        <x:v>0</x:v>
      </x:c>
      <x:c r="H331" s="10" t="n">
        <x:v>0</x:v>
      </x:c>
      <x:c r="I331" t="n">
        <x:v>0</x:v>
      </x:c>
      <x:c r="J331" s="6" t="n">
        <x:v>0</x:v>
      </x:c>
    </x:row>
    <x:row r="332">
      <x:c r="A332" t="str">
        <x:v>205 45 16</x:v>
      </x:c>
      <x:c r="B332" t="str">
        <x:v>Medida</x:v>
      </x:c>
      <x:c r="C332" t="n">
        <x:v>3</x:v>
      </x:c>
      <x:c r="D332" t="n">
        <x:v>2</x:v>
      </x:c>
      <x:c r="E332" t="n">
        <x:v>1</x:v>
      </x:c>
      <x:c r="F332" t="n">
        <x:v>1</x:v>
      </x:c>
      <x:c r="G332" s="10" t="n">
        <x:v>0.3333</x:v>
      </x:c>
      <x:c r="H332" s="10" t="n">
        <x:v>0</x:v>
      </x:c>
      <x:c r="I332" t="n">
        <x:v>0</x:v>
      </x:c>
      <x:c r="J332" s="6" t="n">
        <x:v>0</x:v>
      </x:c>
    </x:row>
    <x:row r="333">
      <x:c r="A333" t="str">
        <x:v>225 60 r18</x:v>
      </x:c>
      <x:c r="B333" t="str">
        <x:v>Medida</x:v>
      </x:c>
      <x:c r="C333" t="n">
        <x:v>3</x:v>
      </x:c>
      <x:c r="D333" t="n">
        <x:v>3</x:v>
      </x:c>
      <x:c r="E333" t="n">
        <x:v>7</x:v>
      </x:c>
      <x:c r="F333" t="n">
        <x:v>1</x:v>
      </x:c>
      <x:c r="G333" s="10" t="n">
        <x:v>2.3333</x:v>
      </x:c>
      <x:c r="H333" s="10" t="n">
        <x:v>0</x:v>
      </x:c>
      <x:c r="I333" t="n">
        <x:v>0</x:v>
      </x:c>
      <x:c r="J333" s="6" t="n">
        <x:v>0</x:v>
      </x:c>
    </x:row>
    <x:row r="334">
      <x:c r="A334" t="str">
        <x:v>245-65-r17-bfgoodrich-all-terrain-t-a-ko2-111-108s</x:v>
      </x:c>
      <x:c r="B334" t="str">
        <x:v>Producto / URL</x:v>
      </x:c>
      <x:c r="C334" t="n">
        <x:v>3</x:v>
      </x:c>
      <x:c r="D334" t="n">
        <x:v>3</x:v>
      </x:c>
      <x:c r="E334" t="n">
        <x:v>0</x:v>
      </x:c>
      <x:c r="F334" t="n">
        <x:v>0</x:v>
      </x:c>
      <x:c r="G334" s="10" t="n">
        <x:v>0</x:v>
      </x:c>
      <x:c r="H334" s="10" t="n">
        <x:v>0</x:v>
      </x:c>
      <x:c r="I334" t="n">
        <x:v>0</x:v>
      </x:c>
      <x:c r="J334" s="6" t="n">
        <x:v>0</x:v>
      </x:c>
    </x:row>
    <x:row r="335">
      <x:c r="A335" t="str">
        <x:v>245 35 zr19</x:v>
      </x:c>
      <x:c r="B335" t="str">
        <x:v>Otro</x:v>
      </x:c>
      <x:c r="C335" t="n">
        <x:v>3</x:v>
      </x:c>
      <x:c r="D335" t="n">
        <x:v>2</x:v>
      </x:c>
      <x:c r="E335" t="n">
        <x:v>1</x:v>
      </x:c>
      <x:c r="F335" t="n">
        <x:v>1</x:v>
      </x:c>
      <x:c r="G335" s="10" t="n">
        <x:v>0.3333</x:v>
      </x:c>
      <x:c r="H335" s="10" t="n">
        <x:v>0</x:v>
      </x:c>
      <x:c r="I335" t="n">
        <x:v>0</x:v>
      </x:c>
      <x:c r="J335" s="6" t="n">
        <x:v>0</x:v>
      </x:c>
    </x:row>
    <x:row r="336">
      <x:c r="A336" t="str">
        <x:v>215-70-r16c-michelin-agilis-3-108-106-t</x:v>
      </x:c>
      <x:c r="B336" t="str">
        <x:v>Medida</x:v>
      </x:c>
      <x:c r="C336" t="n">
        <x:v>3</x:v>
      </x:c>
      <x:c r="D336" t="n">
        <x:v>2</x:v>
      </x:c>
      <x:c r="E336" t="n">
        <x:v>0</x:v>
      </x:c>
      <x:c r="F336" t="n">
        <x:v>0</x:v>
      </x:c>
      <x:c r="G336" s="10" t="n">
        <x:v>0</x:v>
      </x:c>
      <x:c r="H336" s="10" t="n">
        <x:v>0</x:v>
      </x:c>
      <x:c r="I336" t="n">
        <x:v>0</x:v>
      </x:c>
      <x:c r="J336" s="6" t="n">
        <x:v>0</x:v>
      </x:c>
    </x:row>
    <x:row r="337">
      <x:c r="A337" t="str">
        <x:v>18</x:v>
      </x:c>
      <x:c r="B337" t="str">
        <x:v>Otro</x:v>
      </x:c>
      <x:c r="C337" t="n">
        <x:v>3</x:v>
      </x:c>
      <x:c r="D337" t="n">
        <x:v>2</x:v>
      </x:c>
      <x:c r="E337" t="n">
        <x:v>0</x:v>
      </x:c>
      <x:c r="F337" t="n">
        <x:v>0</x:v>
      </x:c>
      <x:c r="G337" s="10" t="n">
        <x:v>0</x:v>
      </x:c>
      <x:c r="H337" s="10" t="n">
        <x:v>0</x:v>
      </x:c>
      <x:c r="I337" t="n">
        <x:v>0</x:v>
      </x:c>
      <x:c r="J337" s="6" t="n">
        <x:v>0</x:v>
      </x:c>
    </x:row>
    <x:row r="338">
      <x:c r="A338" t="str">
        <x:v>265 70 17</x:v>
      </x:c>
      <x:c r="B338" t="str">
        <x:v>Medida</x:v>
      </x:c>
      <x:c r="C338" t="n">
        <x:v>3</x:v>
      </x:c>
      <x:c r="D338" t="n">
        <x:v>2</x:v>
      </x:c>
      <x:c r="E338" t="n">
        <x:v>3</x:v>
      </x:c>
      <x:c r="F338" t="n">
        <x:v>1</x:v>
      </x:c>
      <x:c r="G338" s="10" t="n">
        <x:v>1</x:v>
      </x:c>
      <x:c r="H338" s="10" t="n">
        <x:v>0</x:v>
      </x:c>
      <x:c r="I338" t="n">
        <x:v>0</x:v>
      </x:c>
      <x:c r="J338" s="6" t="n">
        <x:v>0</x:v>
      </x:c>
    </x:row>
    <x:row r="339">
      <x:c r="A339" t="str">
        <x:v>bfgoodrich ko3</x:v>
      </x:c>
      <x:c r="B339" t="str">
        <x:v>Otro</x:v>
      </x:c>
      <x:c r="C339" t="n">
        <x:v>3</x:v>
      </x:c>
      <x:c r="D339" t="n">
        <x:v>2</x:v>
      </x:c>
      <x:c r="E339" t="n">
        <x:v>5</x:v>
      </x:c>
      <x:c r="F339" t="n">
        <x:v>1</x:v>
      </x:c>
      <x:c r="G339" s="10" t="n">
        <x:v>1.6666999999999998</x:v>
      </x:c>
      <x:c r="H339" s="10" t="n">
        <x:v>0</x:v>
      </x:c>
      <x:c r="I339" t="n">
        <x:v>0</x:v>
      </x:c>
      <x:c r="J339" s="6" t="n">
        <x:v>0</x:v>
      </x:c>
    </x:row>
    <x:row r="340">
      <x:c r="A340" t="str">
        <x:v>245 65 17</x:v>
      </x:c>
      <x:c r="B340" t="str">
        <x:v>Medida</x:v>
      </x:c>
      <x:c r="C340" t="n">
        <x:v>3</x:v>
      </x:c>
      <x:c r="D340" t="n">
        <x:v>3</x:v>
      </x:c>
      <x:c r="E340" t="n">
        <x:v>0</x:v>
      </x:c>
      <x:c r="F340" t="n">
        <x:v>0</x:v>
      </x:c>
      <x:c r="G340" s="10" t="n">
        <x:v>0</x:v>
      </x:c>
      <x:c r="H340" s="10" t="n">
        <x:v>0</x:v>
      </x:c>
      <x:c r="I340" t="n">
        <x:v>0</x:v>
      </x:c>
      <x:c r="J340" s="6" t="n">
        <x:v>0</x:v>
      </x:c>
    </x:row>
    <x:row r="341">
      <x:c r="A341" t="str">
        <x:v>275-45-r20-bridgestone-dueler-hp-sport-ao-110-y</x:v>
      </x:c>
      <x:c r="B341" t="str">
        <x:v>Producto / URL</x:v>
      </x:c>
      <x:c r="C341" t="n">
        <x:v>3</x:v>
      </x:c>
      <x:c r="D341" t="n">
        <x:v>3</x:v>
      </x:c>
      <x:c r="E341" t="n">
        <x:v>0</x:v>
      </x:c>
      <x:c r="F341" t="n">
        <x:v>0</x:v>
      </x:c>
      <x:c r="G341" s="10" t="n">
        <x:v>0</x:v>
      </x:c>
      <x:c r="H341" s="10" t="n">
        <x:v>0</x:v>
      </x:c>
      <x:c r="I341" t="n">
        <x:v>0</x:v>
      </x:c>
      <x:c r="J341" s="6" t="n">
        <x:v>0</x:v>
      </x:c>
    </x:row>
    <x:row r="342">
      <x:c r="A342" t="str">
        <x:v>185 60 14</x:v>
      </x:c>
      <x:c r="B342" t="str">
        <x:v>Medida</x:v>
      </x:c>
      <x:c r="C342" t="n">
        <x:v>3</x:v>
      </x:c>
      <x:c r="D342" t="n">
        <x:v>3</x:v>
      </x:c>
      <x:c r="E342" t="n">
        <x:v>0</x:v>
      </x:c>
      <x:c r="F342" t="n">
        <x:v>0</x:v>
      </x:c>
      <x:c r="G342" s="10" t="n">
        <x:v>0</x:v>
      </x:c>
      <x:c r="H342" s="10" t="n">
        <x:v>0</x:v>
      </x:c>
      <x:c r="I342" t="n">
        <x:v>0</x:v>
      </x:c>
      <x:c r="J342" s="6" t="n">
        <x:v>0</x:v>
      </x:c>
    </x:row>
    <x:row r="343">
      <x:c r="A343" t="str">
        <x:v>40 18</x:v>
      </x:c>
      <x:c r="B343" t="str">
        <x:v>Otro</x:v>
      </x:c>
      <x:c r="C343" t="n">
        <x:v>3</x:v>
      </x:c>
      <x:c r="D343" t="n">
        <x:v>2</x:v>
      </x:c>
      <x:c r="E343" t="n">
        <x:v>0</x:v>
      </x:c>
      <x:c r="F343" t="n">
        <x:v>0</x:v>
      </x:c>
      <x:c r="G343" s="10" t="n">
        <x:v>0</x:v>
      </x:c>
      <x:c r="H343" s="10" t="n">
        <x:v>0</x:v>
      </x:c>
      <x:c r="I343" t="n">
        <x:v>0</x:v>
      </x:c>
      <x:c r="J343" s="6" t="n">
        <x:v>0</x:v>
      </x:c>
    </x:row>
    <x:row r="344">
      <x:c r="A344" t="str">
        <x:v>953772</x:v>
      </x:c>
      <x:c r="B344" t="str">
        <x:v>Otro</x:v>
      </x:c>
      <x:c r="C344" t="n">
        <x:v>3</x:v>
      </x:c>
      <x:c r="D344" t="n">
        <x:v>2</x:v>
      </x:c>
      <x:c r="E344" t="n">
        <x:v>0</x:v>
      </x:c>
      <x:c r="F344" t="n">
        <x:v>0</x:v>
      </x:c>
      <x:c r="G344" s="10" t="n">
        <x:v>0</x:v>
      </x:c>
      <x:c r="H344" s="10" t="n">
        <x:v>0</x:v>
      </x:c>
      <x:c r="I344" t="n">
        <x:v>0</x:v>
      </x:c>
      <x:c r="J344" s="6" t="n">
        <x:v>0</x:v>
      </x:c>
    </x:row>
    <x:row r="345">
      <x:c r="A345" t="str">
        <x:v>kit x4</x:v>
      </x:c>
      <x:c r="B345" t="str">
        <x:v>Categoría</x:v>
      </x:c>
      <x:c r="C345" t="n">
        <x:v>3</x:v>
      </x:c>
      <x:c r="D345" t="n">
        <x:v>2</x:v>
      </x:c>
      <x:c r="E345" t="n">
        <x:v>0</x:v>
      </x:c>
      <x:c r="F345" t="n">
        <x:v>0</x:v>
      </x:c>
      <x:c r="G345" s="10" t="n">
        <x:v>0</x:v>
      </x:c>
      <x:c r="H345" s="10" t="n">
        <x:v>0</x:v>
      </x:c>
      <x:c r="I345" t="n">
        <x:v>0</x:v>
      </x:c>
      <x:c r="J345" s="6" t="n">
        <x:v>0</x:v>
      </x:c>
    </x:row>
    <x:row r="346">
      <x:c r="A346" t="str">
        <x:v>anakee</x:v>
      </x:c>
      <x:c r="B346" t="str">
        <x:v>Otro</x:v>
      </x:c>
      <x:c r="C346" t="n">
        <x:v>3</x:v>
      </x:c>
      <x:c r="D346" t="n">
        <x:v>2</x:v>
      </x:c>
      <x:c r="E346" t="n">
        <x:v>0</x:v>
      </x:c>
      <x:c r="F346" t="n">
        <x:v>0</x:v>
      </x:c>
      <x:c r="G346" s="10" t="n">
        <x:v>0</x:v>
      </x:c>
      <x:c r="H346" s="10" t="n">
        <x:v>0</x:v>
      </x:c>
      <x:c r="I346" t="n">
        <x:v>0</x:v>
      </x:c>
      <x:c r="J346" s="6" t="n">
        <x:v>0</x:v>
      </x:c>
    </x:row>
    <x:row r="347">
      <x:c r="A347" t="str">
        <x:v>195 45 r16</x:v>
      </x:c>
      <x:c r="B347" t="str">
        <x:v>Medida</x:v>
      </x:c>
      <x:c r="C347" t="n">
        <x:v>3</x:v>
      </x:c>
      <x:c r="D347" t="n">
        <x:v>1</x:v>
      </x:c>
      <x:c r="E347" t="n">
        <x:v>2</x:v>
      </x:c>
      <x:c r="F347" t="n">
        <x:v>1</x:v>
      </x:c>
      <x:c r="G347" s="10" t="n">
        <x:v>0.6667000000000001</x:v>
      </x:c>
      <x:c r="H347" s="10" t="n">
        <x:v>0</x:v>
      </x:c>
      <x:c r="I347" t="n">
        <x:v>0</x:v>
      </x:c>
      <x:c r="J347" s="6" t="n">
        <x:v>0</x:v>
      </x:c>
    </x:row>
    <x:row r="348">
      <x:c r="A348" t="str">
        <x:v>195 55</x:v>
      </x:c>
      <x:c r="B348" t="str">
        <x:v>Otro</x:v>
      </x:c>
      <x:c r="C348" t="n">
        <x:v>3</x:v>
      </x:c>
      <x:c r="D348" t="n">
        <x:v>2</x:v>
      </x:c>
      <x:c r="E348" t="n">
        <x:v>0</x:v>
      </x:c>
      <x:c r="F348" t="n">
        <x:v>0</x:v>
      </x:c>
      <x:c r="G348" s="10" t="n">
        <x:v>0</x:v>
      </x:c>
      <x:c r="H348" s="10" t="n">
        <x:v>0</x:v>
      </x:c>
      <x:c r="I348" t="n">
        <x:v>0</x:v>
      </x:c>
      <x:c r="J348" s="6" t="n">
        <x:v>0</x:v>
      </x:c>
    </x:row>
    <x:row r="349">
      <x:c r="A349" t="str">
        <x:v>255 70 r16</x:v>
      </x:c>
      <x:c r="B349" t="str">
        <x:v>Medida</x:v>
      </x:c>
      <x:c r="C349" t="n">
        <x:v>3</x:v>
      </x:c>
      <x:c r="D349" t="n">
        <x:v>3</x:v>
      </x:c>
      <x:c r="E349" t="n">
        <x:v>1</x:v>
      </x:c>
      <x:c r="F349" t="n">
        <x:v>1</x:v>
      </x:c>
      <x:c r="G349" s="10" t="n">
        <x:v>0.3333</x:v>
      </x:c>
      <x:c r="H349" s="10" t="n">
        <x:v>0</x:v>
      </x:c>
      <x:c r="I349" t="n">
        <x:v>0</x:v>
      </x:c>
      <x:c r="J349" s="6" t="n">
        <x:v>0</x:v>
      </x:c>
    </x:row>
    <x:row r="350">
      <x:c r="A350" t="str">
        <x:v>michelin pilot sport 5</x:v>
      </x:c>
      <x:c r="B350" t="str">
        <x:v>Otro</x:v>
      </x:c>
      <x:c r="C350" t="n">
        <x:v>3</x:v>
      </x:c>
      <x:c r="D350" t="n">
        <x:v>2</x:v>
      </x:c>
      <x:c r="E350" t="n">
        <x:v>1</x:v>
      </x:c>
      <x:c r="F350" t="n">
        <x:v>1</x:v>
      </x:c>
      <x:c r="G350" s="10" t="n">
        <x:v>0.3333</x:v>
      </x:c>
      <x:c r="H350" s="10" t="n">
        <x:v>0</x:v>
      </x:c>
      <x:c r="I350" t="n">
        <x:v>0</x:v>
      </x:c>
      <x:c r="J350" s="6" t="n">
        <x:v>0</x:v>
      </x:c>
    </x:row>
    <x:row r="351">
      <x:c r="A351" t="str">
        <x:v>205.55 16</x:v>
      </x:c>
      <x:c r="B351" t="str">
        <x:v>Otro</x:v>
      </x:c>
      <x:c r="C351" t="n">
        <x:v>3</x:v>
      </x:c>
      <x:c r="D351" t="n">
        <x:v>2</x:v>
      </x:c>
      <x:c r="E351" t="n">
        <x:v>0</x:v>
      </x:c>
      <x:c r="F351" t="n">
        <x:v>0</x:v>
      </x:c>
      <x:c r="G351" s="10" t="n">
        <x:v>0</x:v>
      </x:c>
      <x:c r="H351" s="10" t="n">
        <x:v>0</x:v>
      </x:c>
      <x:c r="I351" t="n">
        <x:v>0</x:v>
      </x:c>
      <x:c r="J351" s="6" t="n">
        <x:v>0</x:v>
      </x:c>
    </x:row>
    <x:row r="352">
      <x:c r="A352" t="str">
        <x:v>225-60-r18-michelin-primacy-a-s-100-h</x:v>
      </x:c>
      <x:c r="B352" t="str">
        <x:v>Producto / URL</x:v>
      </x:c>
      <x:c r="C352" t="n">
        <x:v>3</x:v>
      </x:c>
      <x:c r="D352" t="n">
        <x:v>3</x:v>
      </x:c>
      <x:c r="E352" t="n">
        <x:v>0</x:v>
      </x:c>
      <x:c r="F352" t="n">
        <x:v>0</x:v>
      </x:c>
      <x:c r="G352" s="10" t="n">
        <x:v>0</x:v>
      </x:c>
      <x:c r="H352" s="10" t="n">
        <x:v>0</x:v>
      </x:c>
      <x:c r="I352" t="n">
        <x:v>0</x:v>
      </x:c>
      <x:c r="J352" s="6" t="n">
        <x:v>0</x:v>
      </x:c>
    </x:row>
    <x:row r="353">
      <x:c r="A353" t="str">
        <x:v>goodrich 20</x:v>
      </x:c>
      <x:c r="B353" t="str">
        <x:v>Otro</x:v>
      </x:c>
      <x:c r="C353" t="n">
        <x:v>3</x:v>
      </x:c>
      <x:c r="D353" t="n">
        <x:v>3</x:v>
      </x:c>
      <x:c r="E353" t="n">
        <x:v>0</x:v>
      </x:c>
      <x:c r="F353" t="n">
        <x:v>0</x:v>
      </x:c>
      <x:c r="G353" s="10" t="n">
        <x:v>0</x:v>
      </x:c>
      <x:c r="H353" s="10" t="n">
        <x:v>0</x:v>
      </x:c>
      <x:c r="I353" t="n">
        <x:v>0</x:v>
      </x:c>
      <x:c r="J353" s="6" t="n">
        <x:v>0</x:v>
      </x:c>
    </x:row>
    <x:row r="354">
      <x:c r="A354" t="str">
        <x:v>31x10.5r1</x:v>
      </x:c>
      <x:c r="B354" t="str">
        <x:v>Otro</x:v>
      </x:c>
      <x:c r="C354" t="n">
        <x:v>3</x:v>
      </x:c>
      <x:c r="D354" t="n">
        <x:v>2</x:v>
      </x:c>
      <x:c r="E354" t="n">
        <x:v>1</x:v>
      </x:c>
      <x:c r="F354" t="n">
        <x:v>1</x:v>
      </x:c>
      <x:c r="G354" s="10" t="n">
        <x:v>0.3333</x:v>
      </x:c>
      <x:c r="H354" s="10" t="n">
        <x:v>0</x:v>
      </x:c>
      <x:c r="I354" t="n">
        <x:v>0</x:v>
      </x:c>
      <x:c r="J354" s="6" t="n">
        <x:v>0</x:v>
      </x:c>
    </x:row>
    <x:row r="355">
      <x:c r="A355" t="str">
        <x:v>205 60 r16</x:v>
      </x:c>
      <x:c r="B355" t="str">
        <x:v>Medida</x:v>
      </x:c>
      <x:c r="C355" t="n">
        <x:v>3</x:v>
      </x:c>
      <x:c r="D355" t="n">
        <x:v>2</x:v>
      </x:c>
      <x:c r="E355" t="n">
        <x:v>0</x:v>
      </x:c>
      <x:c r="F355" t="n">
        <x:v>0</x:v>
      </x:c>
      <x:c r="G355" s="10" t="n">
        <x:v>0</x:v>
      </x:c>
      <x:c r="H355" s="10" t="n">
        <x:v>0</x:v>
      </x:c>
      <x:c r="I355" t="n">
        <x:v>0</x:v>
      </x:c>
      <x:c r="J355" s="6" t="n">
        <x:v>0</x:v>
      </x:c>
    </x:row>
    <x:row r="356">
      <x:c r="A356" t="str">
        <x:v>commander iii</x:v>
      </x:c>
      <x:c r="B356" t="str">
        <x:v>Otro</x:v>
      </x:c>
      <x:c r="C356" t="n">
        <x:v>3</x:v>
      </x:c>
      <x:c r="D356" t="n">
        <x:v>2</x:v>
      </x:c>
      <x:c r="E356" t="n">
        <x:v>0</x:v>
      </x:c>
      <x:c r="F356" t="n">
        <x:v>0</x:v>
      </x:c>
      <x:c r="G356" s="10" t="n">
        <x:v>0</x:v>
      </x:c>
      <x:c r="H356" s="10" t="n">
        <x:v>0</x:v>
      </x:c>
      <x:c r="I356" t="n">
        <x:v>0</x:v>
      </x:c>
      <x:c r="J356" s="6" t="n">
        <x:v>0</x:v>
      </x:c>
    </x:row>
    <x:row r="357">
      <x:c r="A357" t="str">
        <x:v>265-65-17</x:v>
      </x:c>
      <x:c r="B357" t="str">
        <x:v>Medida</x:v>
      </x:c>
      <x:c r="C357" t="n">
        <x:v>3</x:v>
      </x:c>
      <x:c r="D357" t="n">
        <x:v>2</x:v>
      </x:c>
      <x:c r="E357" t="n">
        <x:v>0</x:v>
      </x:c>
      <x:c r="F357" t="n">
        <x:v>0</x:v>
      </x:c>
      <x:c r="G357" s="10" t="n">
        <x:v>0</x:v>
      </x:c>
      <x:c r="H357" s="10" t="n">
        <x:v>0</x:v>
      </x:c>
      <x:c r="I357" t="n">
        <x:v>0</x:v>
      </x:c>
      <x:c r="J357" s="6" t="n">
        <x:v>0</x:v>
      </x:c>
    </x:row>
    <x:row r="358">
      <x:c r="A358" t="str">
        <x:v>r6000</x:v>
      </x:c>
      <x:c r="B358" t="str">
        <x:v>Otro</x:v>
      </x:c>
      <x:c r="C358" t="n">
        <x:v>3</x:v>
      </x:c>
      <x:c r="D358" t="n">
        <x:v>3</x:v>
      </x:c>
      <x:c r="E358" t="n">
        <x:v>2</x:v>
      </x:c>
      <x:c r="F358" t="n">
        <x:v>2</x:v>
      </x:c>
      <x:c r="G358" s="10" t="n">
        <x:v>0.6667000000000001</x:v>
      </x:c>
      <x:c r="H358" s="10" t="n">
        <x:v>0</x:v>
      </x:c>
      <x:c r="I358" t="n">
        <x:v>0</x:v>
      </x:c>
      <x:c r="J358" s="6" t="n">
        <x:v>0</x:v>
      </x:c>
    </x:row>
    <x:row r="359">
      <x:c r="A359" t="str">
        <x:v>140 70 17</x:v>
      </x:c>
      <x:c r="B359" t="str">
        <x:v>Medida</x:v>
      </x:c>
      <x:c r="C359" t="n">
        <x:v>3</x:v>
      </x:c>
      <x:c r="D359" t="n">
        <x:v>3</x:v>
      </x:c>
      <x:c r="E359" t="n">
        <x:v>1</x:v>
      </x:c>
      <x:c r="F359" t="n">
        <x:v>1</x:v>
      </x:c>
      <x:c r="G359" s="10" t="n">
        <x:v>0.3333</x:v>
      </x:c>
      <x:c r="H359" s="10" t="n">
        <x:v>0</x:v>
      </x:c>
      <x:c r="I359" t="n">
        <x:v>0</x:v>
      </x:c>
      <x:c r="J359" s="6" t="n">
        <x:v>0</x:v>
      </x:c>
    </x:row>
    <x:row r="360">
      <x:c r="A360" t="str">
        <x:v>225 45 r21</x:v>
      </x:c>
      <x:c r="B360" t="str">
        <x:v>Medida</x:v>
      </x:c>
      <x:c r="C360" t="n">
        <x:v>3</x:v>
      </x:c>
      <x:c r="D360" t="n">
        <x:v>2</x:v>
      </x:c>
      <x:c r="E360" t="n">
        <x:v>0</x:v>
      </x:c>
      <x:c r="F360" t="n">
        <x:v>0</x:v>
      </x:c>
      <x:c r="G360" s="10" t="n">
        <x:v>0</x:v>
      </x:c>
      <x:c r="H360" s="10" t="n">
        <x:v>0</x:v>
      </x:c>
      <x:c r="I360" t="n">
        <x:v>0</x:v>
      </x:c>
      <x:c r="J360" s="6" t="n">
        <x:v>0</x:v>
      </x:c>
    </x:row>
    <x:row r="361">
      <x:c r="A361" t="str">
        <x:v>neumatico 165 70 r13</x:v>
      </x:c>
      <x:c r="B361" t="str">
        <x:v>Medida</x:v>
      </x:c>
      <x:c r="C361" t="n">
        <x:v>3</x:v>
      </x:c>
      <x:c r="D361" t="n">
        <x:v>2</x:v>
      </x:c>
      <x:c r="E361" t="n">
        <x:v>0</x:v>
      </x:c>
      <x:c r="F361" t="n">
        <x:v>0</x:v>
      </x:c>
      <x:c r="G361" s="10" t="n">
        <x:v>0</x:v>
      </x:c>
      <x:c r="H361" s="10" t="n">
        <x:v>0</x:v>
      </x:c>
      <x:c r="I361" t="n">
        <x:v>0</x:v>
      </x:c>
      <x:c r="J361" s="6" t="n">
        <x:v>0</x:v>
      </x:c>
    </x:row>
    <x:row r="362">
      <x:c r="A362" t="str">
        <x:v>all terranova 265 65 r20</x:v>
      </x:c>
      <x:c r="B362" t="str">
        <x:v>Medida</x:v>
      </x:c>
      <x:c r="C362" t="n">
        <x:v>3</x:v>
      </x:c>
      <x:c r="D362" t="n">
        <x:v>2</x:v>
      </x:c>
      <x:c r="E362" t="n">
        <x:v>1</x:v>
      </x:c>
      <x:c r="F362" t="n">
        <x:v>1</x:v>
      </x:c>
      <x:c r="G362" s="10" t="n">
        <x:v>0.3333</x:v>
      </x:c>
      <x:c r="H362" s="10" t="n">
        <x:v>0</x:v>
      </x:c>
      <x:c r="I362" t="n">
        <x:v>0</x:v>
      </x:c>
      <x:c r="J362" s="6" t="n">
        <x:v>0</x:v>
      </x:c>
    </x:row>
    <x:row r="363">
      <x:c r="A363" t="str">
        <x:v>205-45-r17-michelin-primacy-3-run-flat-88w</x:v>
      </x:c>
      <x:c r="B363" t="str">
        <x:v>Producto / URL</x:v>
      </x:c>
      <x:c r="C363" t="n">
        <x:v>3</x:v>
      </x:c>
      <x:c r="D363" t="n">
        <x:v>3</x:v>
      </x:c>
      <x:c r="E363" t="n">
        <x:v>0</x:v>
      </x:c>
      <x:c r="F363" t="n">
        <x:v>0</x:v>
      </x:c>
      <x:c r="G363" s="10" t="n">
        <x:v>0</x:v>
      </x:c>
      <x:c r="H363" s="10" t="n">
        <x:v>0</x:v>
      </x:c>
      <x:c r="I363" t="n">
        <x:v>0</x:v>
      </x:c>
      <x:c r="J363" s="6" t="n">
        <x:v>0</x:v>
      </x:c>
    </x:row>
    <x:row r="364">
      <x:c r="A364" t="str">
        <x:v>235 60 r18</x:v>
      </x:c>
      <x:c r="B364" t="str">
        <x:v>Medida</x:v>
      </x:c>
      <x:c r="C364" t="n">
        <x:v>3</x:v>
      </x:c>
      <x:c r="D364" t="n">
        <x:v>3</x:v>
      </x:c>
      <x:c r="E364" t="n">
        <x:v>0</x:v>
      </x:c>
      <x:c r="F364" t="n">
        <x:v>0</x:v>
      </x:c>
      <x:c r="G364" s="10" t="n">
        <x:v>0</x:v>
      </x:c>
      <x:c r="H364" s="10" t="n">
        <x:v>0</x:v>
      </x:c>
      <x:c r="I364" t="n">
        <x:v>0</x:v>
      </x:c>
      <x:c r="J364" s="6" t="n">
        <x:v>0</x:v>
      </x:c>
    </x:row>
    <x:row r="365">
      <x:c r="A365" t="str">
        <x:v>neumáticos r13</x:v>
      </x:c>
      <x:c r="B365" t="str">
        <x:v>Otro</x:v>
      </x:c>
      <x:c r="C365" t="n">
        <x:v>3</x:v>
      </x:c>
      <x:c r="D365" t="n">
        <x:v>2</x:v>
      </x:c>
      <x:c r="E365" t="n">
        <x:v>1</x:v>
      </x:c>
      <x:c r="F365" t="n">
        <x:v>1</x:v>
      </x:c>
      <x:c r="G365" s="10" t="n">
        <x:v>0.3333</x:v>
      </x:c>
      <x:c r="H365" s="10" t="n">
        <x:v>0</x:v>
      </x:c>
      <x:c r="I365" t="n">
        <x:v>0</x:v>
      </x:c>
      <x:c r="J365" s="6" t="n">
        <x:v>0</x:v>
      </x:c>
    </x:row>
    <x:row r="366">
      <x:c r="A366" t="str">
        <x:v>all terranova 275 65 r20</x:v>
      </x:c>
      <x:c r="B366" t="str">
        <x:v>Medida</x:v>
      </x:c>
      <x:c r="C366" t="n">
        <x:v>3</x:v>
      </x:c>
      <x:c r="D366" t="n">
        <x:v>2</x:v>
      </x:c>
      <x:c r="E366" t="n">
        <x:v>0</x:v>
      </x:c>
      <x:c r="F366" t="n">
        <x:v>0</x:v>
      </x:c>
      <x:c r="G366" s="10" t="n">
        <x:v>0</x:v>
      </x:c>
      <x:c r="H366" s="10" t="n">
        <x:v>0</x:v>
      </x:c>
      <x:c r="I366" t="n">
        <x:v>0</x:v>
      </x:c>
      <x:c r="J366" s="6" t="n">
        <x:v>0</x:v>
      </x:c>
    </x:row>
    <x:row r="367">
      <x:c r="A367" t="str">
        <x:v>265-50-r20-bf-goodrich-trail-terrain-ta-107-h</x:v>
      </x:c>
      <x:c r="B367" t="str">
        <x:v>Producto / URL</x:v>
      </x:c>
      <x:c r="C367" t="n">
        <x:v>3</x:v>
      </x:c>
      <x:c r="D367" t="n">
        <x:v>3</x:v>
      </x:c>
      <x:c r="E367" t="n">
        <x:v>0</x:v>
      </x:c>
      <x:c r="F367" t="n">
        <x:v>0</x:v>
      </x:c>
      <x:c r="G367" s="10" t="n">
        <x:v>0</x:v>
      </x:c>
      <x:c r="H367" s="10" t="n">
        <x:v>0</x:v>
      </x:c>
      <x:c r="I367" t="n">
        <x:v>0</x:v>
      </x:c>
      <x:c r="J367" s="6" t="n">
        <x:v>0</x:v>
      </x:c>
    </x:row>
    <x:row r="368">
      <x:c r="A368" t="str">
        <x:v>560 15</x:v>
      </x:c>
      <x:c r="B368" t="str">
        <x:v>Otro</x:v>
      </x:c>
      <x:c r="C368" t="n">
        <x:v>3</x:v>
      </x:c>
      <x:c r="D368" t="n">
        <x:v>2</x:v>
      </x:c>
      <x:c r="E368" t="n">
        <x:v>0</x:v>
      </x:c>
      <x:c r="F368" t="n">
        <x:v>0</x:v>
      </x:c>
      <x:c r="G368" s="10" t="n">
        <x:v>0</x:v>
      </x:c>
      <x:c r="H368" s="10" t="n">
        <x:v>0</x:v>
      </x:c>
      <x:c r="I368" t="n">
        <x:v>0</x:v>
      </x:c>
      <x:c r="J368" s="6" t="n">
        <x:v>0</x:v>
      </x:c>
    </x:row>
    <x:row r="369">
      <x:c r="A369" t="str">
        <x:v>195-45-16</x:v>
      </x:c>
      <x:c r="B369" t="str">
        <x:v>Medida</x:v>
      </x:c>
      <x:c r="C369" t="n">
        <x:v>3</x:v>
      </x:c>
      <x:c r="D369" t="n">
        <x:v>2</x:v>
      </x:c>
      <x:c r="E369" t="n">
        <x:v>0</x:v>
      </x:c>
      <x:c r="F369" t="n">
        <x:v>0</x:v>
      </x:c>
      <x:c r="G369" s="10" t="n">
        <x:v>0</x:v>
      </x:c>
      <x:c r="H369" s="10" t="n">
        <x:v>0</x:v>
      </x:c>
      <x:c r="I369" t="n">
        <x:v>0</x:v>
      </x:c>
      <x:c r="J369" s="6" t="n">
        <x:v>0</x:v>
      </x:c>
    </x:row>
    <x:row r="370">
      <x:c r="A370" t="str">
        <x:v>215 60 16</x:v>
      </x:c>
      <x:c r="B370" t="str">
        <x:v>Medida</x:v>
      </x:c>
      <x:c r="C370" t="n">
        <x:v>3</x:v>
      </x:c>
      <x:c r="D370" t="n">
        <x:v>3</x:v>
      </x:c>
      <x:c r="E370" t="n">
        <x:v>4</x:v>
      </x:c>
      <x:c r="F370" t="n">
        <x:v>1</x:v>
      </x:c>
      <x:c r="G370" s="10" t="n">
        <x:v>1.3333000000000002</x:v>
      </x:c>
      <x:c r="H370" s="10" t="n">
        <x:v>0</x:v>
      </x:c>
      <x:c r="I370" t="n">
        <x:v>0</x:v>
      </x:c>
      <x:c r="J370" s="6" t="n">
        <x:v>0</x:v>
      </x:c>
    </x:row>
    <x:row r="371">
      <x:c r="A371" t="str">
        <x:v>195 65 16</x:v>
      </x:c>
      <x:c r="B371" t="str">
        <x:v>Medida</x:v>
      </x:c>
      <x:c r="C371" t="n">
        <x:v>3</x:v>
      </x:c>
      <x:c r="D371" t="n">
        <x:v>1</x:v>
      </x:c>
      <x:c r="E371" t="n">
        <x:v>9</x:v>
      </x:c>
      <x:c r="F371" t="n">
        <x:v>1</x:v>
      </x:c>
      <x:c r="G371" s="10" t="n">
        <x:v>3</x:v>
      </x:c>
      <x:c r="H371" s="10" t="n">
        <x:v>0</x:v>
      </x:c>
      <x:c r="I371" t="n">
        <x:v>0</x:v>
      </x:c>
      <x:c r="J371" s="6" t="n">
        <x:v>0</x:v>
      </x:c>
    </x:row>
    <x:row r="372">
      <x:c r="A372" t="str">
        <x:v>michelin anakee wild 120 80</x:v>
      </x:c>
      <x:c r="B372" t="str">
        <x:v>Otro</x:v>
      </x:c>
      <x:c r="C372" t="n">
        <x:v>3</x:v>
      </x:c>
      <x:c r="D372" t="n">
        <x:v>2</x:v>
      </x:c>
      <x:c r="E372" t="n">
        <x:v>0</x:v>
      </x:c>
      <x:c r="F372" t="n">
        <x:v>0</x:v>
      </x:c>
      <x:c r="G372" s="10" t="n">
        <x:v>0</x:v>
      </x:c>
      <x:c r="H372" s="10" t="n">
        <x:v>0</x:v>
      </x:c>
      <x:c r="I372" t="n">
        <x:v>0</x:v>
      </x:c>
      <x:c r="J372" s="6" t="n">
        <x:v>0</x:v>
      </x:c>
    </x:row>
    <x:row r="373">
      <x:c r="A373" t="str">
        <x:v>205 70 16</x:v>
      </x:c>
      <x:c r="B373" t="str">
        <x:v>Medida</x:v>
      </x:c>
      <x:c r="C373" t="n">
        <x:v>3</x:v>
      </x:c>
      <x:c r="D373" t="n">
        <x:v>2</x:v>
      </x:c>
      <x:c r="E373" t="n">
        <x:v>1</x:v>
      </x:c>
      <x:c r="F373" t="n">
        <x:v>1</x:v>
      </x:c>
      <x:c r="G373" s="10" t="n">
        <x:v>0.3333</x:v>
      </x:c>
      <x:c r="H373" s="10" t="n">
        <x:v>0</x:v>
      </x:c>
      <x:c r="I373" t="n">
        <x:v>0</x:v>
      </x:c>
      <x:c r="J373" s="6" t="n">
        <x:v>0</x:v>
      </x:c>
    </x:row>
    <x:row r="374">
      <x:c r="A374" t="str">
        <x:v>195-45-16 yokohama</x:v>
      </x:c>
      <x:c r="B374" t="str">
        <x:v>Medida</x:v>
      </x:c>
      <x:c r="C374" t="n">
        <x:v>3</x:v>
      </x:c>
      <x:c r="D374" t="n">
        <x:v>2</x:v>
      </x:c>
      <x:c r="E374" t="n">
        <x:v>0</x:v>
      </x:c>
      <x:c r="F374" t="n">
        <x:v>0</x:v>
      </x:c>
      <x:c r="G374" s="10" t="n">
        <x:v>0</x:v>
      </x:c>
      <x:c r="H374" s="10" t="n">
        <x:v>0</x:v>
      </x:c>
      <x:c r="I374" t="n">
        <x:v>0</x:v>
      </x:c>
      <x:c r="J374" s="6" t="n">
        <x:v>0</x:v>
      </x:c>
    </x:row>
    <x:row r="375">
      <x:c r="A375" t="str">
        <x:v>hs52</x:v>
      </x:c>
      <x:c r="B375" t="str">
        <x:v>Otro</x:v>
      </x:c>
      <x:c r="C375" t="n">
        <x:v>3</x:v>
      </x:c>
      <x:c r="D375" t="n">
        <x:v>2</x:v>
      </x:c>
      <x:c r="E375" t="n">
        <x:v>2</x:v>
      </x:c>
      <x:c r="F375" t="n">
        <x:v>1</x:v>
      </x:c>
      <x:c r="G375" s="10" t="n">
        <x:v>0.6667000000000001</x:v>
      </x:c>
      <x:c r="H375" s="10" t="n">
        <x:v>0</x:v>
      </x:c>
      <x:c r="I375" t="n">
        <x:v>0</x:v>
      </x:c>
      <x:c r="J375" s="6" t="n">
        <x:v>0</x:v>
      </x:c>
    </x:row>
    <x:row r="376">
      <x:c r="A376" t="str">
        <x:v>130</x:v>
      </x:c>
      <x:c r="B376" t="str">
        <x:v>Otro</x:v>
      </x:c>
      <x:c r="C376" t="n">
        <x:v>3</x:v>
      </x:c>
      <x:c r="D376" t="n">
        <x:v>2</x:v>
      </x:c>
      <x:c r="E376" t="n">
        <x:v>0</x:v>
      </x:c>
      <x:c r="F376" t="n">
        <x:v>0</x:v>
      </x:c>
      <x:c r="G376" s="10" t="n">
        <x:v>0</x:v>
      </x:c>
      <x:c r="H376" s="10" t="n">
        <x:v>0</x:v>
      </x:c>
      <x:c r="I376" t="n">
        <x:v>0</x:v>
      </x:c>
      <x:c r="J376" s="6" t="n">
        <x:v>0</x:v>
      </x:c>
    </x:row>
    <x:row r="377">
      <x:c r="A377" t="str">
        <x:v>235-70-r15-bfgoodrich-radial-t-a-102s</x:v>
      </x:c>
      <x:c r="B377" t="str">
        <x:v>Producto / URL</x:v>
      </x:c>
      <x:c r="C377" t="n">
        <x:v>3</x:v>
      </x:c>
      <x:c r="D377" t="n">
        <x:v>3</x:v>
      </x:c>
      <x:c r="E377" t="n">
        <x:v>0</x:v>
      </x:c>
      <x:c r="F377" t="n">
        <x:v>0</x:v>
      </x:c>
      <x:c r="G377" s="10" t="n">
        <x:v>0</x:v>
      </x:c>
      <x:c r="H377" s="10" t="n">
        <x:v>0</x:v>
      </x:c>
      <x:c r="I377" t="n">
        <x:v>0</x:v>
      </x:c>
      <x:c r="J377" s="6" t="n">
        <x:v>0</x:v>
      </x:c>
    </x:row>
    <x:row r="378">
      <x:c r="A378" t="str">
        <x:v>215 55 18</x:v>
      </x:c>
      <x:c r="B378" t="str">
        <x:v>Medida</x:v>
      </x:c>
      <x:c r="C378" t="n">
        <x:v>3</x:v>
      </x:c>
      <x:c r="D378" t="n">
        <x:v>2</x:v>
      </x:c>
      <x:c r="E378" t="n">
        <x:v>0</x:v>
      </x:c>
      <x:c r="F378" t="n">
        <x:v>0</x:v>
      </x:c>
      <x:c r="G378" s="10" t="n">
        <x:v>0</x:v>
      </x:c>
      <x:c r="H378" s="10" t="n">
        <x:v>0</x:v>
      </x:c>
      <x:c r="I378" t="n">
        <x:v>0</x:v>
      </x:c>
      <x:c r="J378" s="6" t="n">
        <x:v>0</x:v>
      </x:c>
    </x:row>
    <x:row r="379">
      <x:c r="A379" t="str">
        <x:v>235 65 r17 yokohama</x:v>
      </x:c>
      <x:c r="B379" t="str">
        <x:v>Medida</x:v>
      </x:c>
      <x:c r="C379" t="n">
        <x:v>3</x:v>
      </x:c>
      <x:c r="D379" t="n">
        <x:v>2</x:v>
      </x:c>
      <x:c r="E379" t="n">
        <x:v>5</x:v>
      </x:c>
      <x:c r="F379" t="n">
        <x:v>1</x:v>
      </x:c>
      <x:c r="G379" s="10" t="n">
        <x:v>1.6666999999999998</x:v>
      </x:c>
      <x:c r="H379" s="10" t="n">
        <x:v>0</x:v>
      </x:c>
      <x:c r="I379" t="n">
        <x:v>0</x:v>
      </x:c>
      <x:c r="J379" s="6" t="n">
        <x:v>0</x:v>
      </x:c>
    </x:row>
    <x:row r="380">
      <x:c r="A380" t="str">
        <x:v>225-35-r19-michelin-pilot-sport-4-s-zp-88-y</x:v>
      </x:c>
      <x:c r="B380" t="str">
        <x:v>Producto / URL</x:v>
      </x:c>
      <x:c r="C380" t="n">
        <x:v>3</x:v>
      </x:c>
      <x:c r="D380" t="n">
        <x:v>3</x:v>
      </x:c>
      <x:c r="E380" t="n">
        <x:v>0</x:v>
      </x:c>
      <x:c r="F380" t="n">
        <x:v>0</x:v>
      </x:c>
      <x:c r="G380" s="10" t="n">
        <x:v>0</x:v>
      </x:c>
      <x:c r="H380" s="10" t="n">
        <x:v>0</x:v>
      </x:c>
      <x:c r="I380" t="n">
        <x:v>0</x:v>
      </x:c>
      <x:c r="J380" s="6" t="n">
        <x:v>0</x:v>
      </x:c>
    </x:row>
    <x:row r="381">
      <x:c r="A381" t="str">
        <x:v>266 70 17 ht</x:v>
      </x:c>
      <x:c r="B381" t="str">
        <x:v>Medida</x:v>
      </x:c>
      <x:c r="C381" t="n">
        <x:v>3</x:v>
      </x:c>
      <x:c r="D381" t="n">
        <x:v>2</x:v>
      </x:c>
      <x:c r="E381" t="n">
        <x:v>0</x:v>
      </x:c>
      <x:c r="F381" t="n">
        <x:v>0</x:v>
      </x:c>
      <x:c r="G381" s="10" t="n">
        <x:v>0</x:v>
      </x:c>
      <x:c r="H381" s="10" t="n">
        <x:v>0</x:v>
      </x:c>
      <x:c r="I381" t="n">
        <x:v>0</x:v>
      </x:c>
      <x:c r="J381" s="6" t="n">
        <x:v>0</x:v>
      </x:c>
    </x:row>
    <x:row r="382">
      <x:c r="A382" t="str">
        <x:v>150 80 16</x:v>
      </x:c>
      <x:c r="B382" t="str">
        <x:v>Medida</x:v>
      </x:c>
      <x:c r="C382" t="n">
        <x:v>3</x:v>
      </x:c>
      <x:c r="D382" t="n">
        <x:v>2</x:v>
      </x:c>
      <x:c r="E382" t="n">
        <x:v>0</x:v>
      </x:c>
      <x:c r="F382" t="n">
        <x:v>0</x:v>
      </x:c>
      <x:c r="G382" s="10" t="n">
        <x:v>0</x:v>
      </x:c>
      <x:c r="H382" s="10" t="n">
        <x:v>0</x:v>
      </x:c>
      <x:c r="I382" t="n">
        <x:v>0</x:v>
      </x:c>
      <x:c r="J382" s="6" t="n">
        <x:v>0</x:v>
      </x:c>
    </x:row>
    <x:row r="383">
      <x:c r="A383" t="str">
        <x:v>165-70-14</x:v>
      </x:c>
      <x:c r="B383" t="str">
        <x:v>Medida</x:v>
      </x:c>
      <x:c r="C383" t="n">
        <x:v>3</x:v>
      </x:c>
      <x:c r="D383" t="n">
        <x:v>1</x:v>
      </x:c>
      <x:c r="E383" t="n">
        <x:v>0</x:v>
      </x:c>
      <x:c r="F383" t="n">
        <x:v>0</x:v>
      </x:c>
      <x:c r="G383" s="10" t="n">
        <x:v>0</x:v>
      </x:c>
      <x:c r="H383" s="10" t="n">
        <x:v>0</x:v>
      </x:c>
      <x:c r="I383" t="n">
        <x:v>0</x:v>
      </x:c>
      <x:c r="J383" s="6" t="n">
        <x:v>0</x:v>
      </x:c>
    </x:row>
    <x:row r="384">
      <x:c r="A384" t="str">
        <x:v>195-55-15</x:v>
      </x:c>
      <x:c r="B384" t="str">
        <x:v>Medida</x:v>
      </x:c>
      <x:c r="C384" t="n">
        <x:v>3</x:v>
      </x:c>
      <x:c r="D384" t="n">
        <x:v>3</x:v>
      </x:c>
      <x:c r="E384" t="n">
        <x:v>0</x:v>
      </x:c>
      <x:c r="F384" t="n">
        <x:v>0</x:v>
      </x:c>
      <x:c r="G384" s="10" t="n">
        <x:v>0</x:v>
      </x:c>
      <x:c r="H384" s="10" t="n">
        <x:v>0</x:v>
      </x:c>
      <x:c r="I384" t="n">
        <x:v>0</x:v>
      </x:c>
      <x:c r="J384" s="6" t="n">
        <x:v>0</x:v>
      </x:c>
    </x:row>
    <x:row r="385">
      <x:c r="A385" t="str">
        <x:v>215 60 r17</x:v>
      </x:c>
      <x:c r="B385" t="str">
        <x:v>Medida</x:v>
      </x:c>
      <x:c r="C385" t="n">
        <x:v>3</x:v>
      </x:c>
      <x:c r="D385" t="n">
        <x:v>3</x:v>
      </x:c>
      <x:c r="E385" t="n">
        <x:v>1</x:v>
      </x:c>
      <x:c r="F385" t="n">
        <x:v>1</x:v>
      </x:c>
      <x:c r="G385" s="10" t="n">
        <x:v>0.3333</x:v>
      </x:c>
      <x:c r="H385" s="10" t="n">
        <x:v>0</x:v>
      </x:c>
      <x:c r="I385" t="n">
        <x:v>0</x:v>
      </x:c>
      <x:c r="J385" s="6" t="n">
        <x:v>0</x:v>
      </x:c>
    </x:row>
    <x:row r="386">
      <x:c r="A386" t="str">
        <x:v>225 48 18</x:v>
      </x:c>
      <x:c r="B386" t="str">
        <x:v>Medida</x:v>
      </x:c>
      <x:c r="C386" t="n">
        <x:v>3</x:v>
      </x:c>
      <x:c r="D386" t="n">
        <x:v>2</x:v>
      </x:c>
      <x:c r="E386" t="n">
        <x:v>1</x:v>
      </x:c>
      <x:c r="F386" t="n">
        <x:v>1</x:v>
      </x:c>
      <x:c r="G386" s="10" t="n">
        <x:v>0.3333</x:v>
      </x:c>
      <x:c r="H386" s="10" t="n">
        <x:v>0</x:v>
      </x:c>
      <x:c r="I386" t="n">
        <x:v>0</x:v>
      </x:c>
      <x:c r="J386" s="6" t="n">
        <x:v>0</x:v>
      </x:c>
    </x:row>
    <x:row r="387">
      <x:c r="A387" t="str">
        <x:v>275 70 20</x:v>
      </x:c>
      <x:c r="B387" t="str">
        <x:v>Medida</x:v>
      </x:c>
      <x:c r="C387" t="n">
        <x:v>3</x:v>
      </x:c>
      <x:c r="D387" t="n">
        <x:v>2</x:v>
      </x:c>
      <x:c r="E387" t="n">
        <x:v>0</x:v>
      </x:c>
      <x:c r="F387" t="n">
        <x:v>0</x:v>
      </x:c>
      <x:c r="G387" s="10" t="n">
        <x:v>0</x:v>
      </x:c>
      <x:c r="H387" s="10" t="n">
        <x:v>0</x:v>
      </x:c>
      <x:c r="I387" t="n">
        <x:v>0</x:v>
      </x:c>
      <x:c r="J387" s="6" t="n">
        <x:v>0</x:v>
      </x:c>
    </x:row>
    <x:row r="388">
      <x:c r="A388" t="str">
        <x:v>195-45-r16-sailun-atrezzo-zsr-84-v</x:v>
      </x:c>
      <x:c r="B388" t="str">
        <x:v>Producto / URL</x:v>
      </x:c>
      <x:c r="C388" t="n">
        <x:v>3</x:v>
      </x:c>
      <x:c r="D388" t="n">
        <x:v>3</x:v>
      </x:c>
      <x:c r="E388" t="n">
        <x:v>0</x:v>
      </x:c>
      <x:c r="F388" t="n">
        <x:v>0</x:v>
      </x:c>
      <x:c r="G388" s="10" t="n">
        <x:v>0</x:v>
      </x:c>
      <x:c r="H388" s="10" t="n">
        <x:v>0</x:v>
      </x:c>
      <x:c r="I388" t="n">
        <x:v>0</x:v>
      </x:c>
      <x:c r="J388" s="6" t="n">
        <x:v>0</x:v>
      </x:c>
    </x:row>
    <x:row r="389">
      <x:c r="A389" t="str">
        <x:v>235 45 18</x:v>
      </x:c>
      <x:c r="B389" t="str">
        <x:v>Medida</x:v>
      </x:c>
      <x:c r="C389" t="n">
        <x:v>3</x:v>
      </x:c>
      <x:c r="D389" t="n">
        <x:v>2</x:v>
      </x:c>
      <x:c r="E389" t="n">
        <x:v>2</x:v>
      </x:c>
      <x:c r="F389" t="n">
        <x:v>1</x:v>
      </x:c>
      <x:c r="G389" s="10" t="n">
        <x:v>0.6667000000000001</x:v>
      </x:c>
      <x:c r="H389" s="10" t="n">
        <x:v>0</x:v>
      </x:c>
      <x:c r="I389" t="n">
        <x:v>0</x:v>
      </x:c>
      <x:c r="J389" s="6" t="n">
        <x:v>0</x:v>
      </x:c>
    </x:row>
    <x:row r="390">
      <x:c r="A390" t="str">
        <x:v>235 55 17</x:v>
      </x:c>
      <x:c r="B390" t="str">
        <x:v>Medida</x:v>
      </x:c>
      <x:c r="C390" t="n">
        <x:v>3</x:v>
      </x:c>
      <x:c r="D390" t="n">
        <x:v>3</x:v>
      </x:c>
      <x:c r="E390" t="n">
        <x:v>5</x:v>
      </x:c>
      <x:c r="F390" t="n">
        <x:v>2</x:v>
      </x:c>
      <x:c r="G390" s="10" t="n">
        <x:v>1.6666999999999998</x:v>
      </x:c>
      <x:c r="H390" s="10" t="n">
        <x:v>0</x:v>
      </x:c>
      <x:c r="I390" t="n">
        <x:v>0</x:v>
      </x:c>
      <x:c r="J390" s="6" t="n">
        <x:v>0</x:v>
      </x:c>
    </x:row>
    <x:row r="391">
      <x:c r="A391" t="str">
        <x:v>225-45-r17-continental-extr-contact-sport-2-91w-1</x:v>
      </x:c>
      <x:c r="B391" t="str">
        <x:v>Producto / URL</x:v>
      </x:c>
      <x:c r="C391" t="n">
        <x:v>3</x:v>
      </x:c>
      <x:c r="D391" t="n">
        <x:v>2</x:v>
      </x:c>
      <x:c r="E391" t="n">
        <x:v>0</x:v>
      </x:c>
      <x:c r="F391" t="n">
        <x:v>0</x:v>
      </x:c>
      <x:c r="G391" s="10" t="n">
        <x:v>0</x:v>
      </x:c>
      <x:c r="H391" s="10" t="n">
        <x:v>0</x:v>
      </x:c>
      <x:c r="I391" t="n">
        <x:v>0</x:v>
      </x:c>
      <x:c r="J391" s="6" t="n">
        <x:v>0</x:v>
      </x:c>
    </x:row>
    <x:row r="392">
      <x:c r="A392" t="str">
        <x:v>R2454</x:v>
      </x:c>
      <x:c r="B392" t="str">
        <x:v>Otro</x:v>
      </x:c>
      <x:c r="C392" t="n">
        <x:v>3</x:v>
      </x:c>
      <x:c r="D392" t="n">
        <x:v>3</x:v>
      </x:c>
      <x:c r="E392" t="n">
        <x:v>4</x:v>
      </x:c>
      <x:c r="F392" t="n">
        <x:v>1</x:v>
      </x:c>
      <x:c r="G392" s="10" t="n">
        <x:v>1.3333000000000002</x:v>
      </x:c>
      <x:c r="H392" s="10" t="n">
        <x:v>0</x:v>
      </x:c>
      <x:c r="I392" t="n">
        <x:v>0</x:v>
      </x:c>
      <x:c r="J392" s="6" t="n">
        <x:v>0</x:v>
      </x:c>
    </x:row>
    <x:row r="393">
      <x:c r="A393" t="str">
        <x:v>205-55-r17-bridgestone-turanza-t001-91-w</x:v>
      </x:c>
      <x:c r="B393" t="str">
        <x:v>Producto / URL</x:v>
      </x:c>
      <x:c r="C393" t="n">
        <x:v>2</x:v>
      </x:c>
      <x:c r="D393" t="n">
        <x:v>2</x:v>
      </x:c>
      <x:c r="E393" t="n">
        <x:v>0</x:v>
      </x:c>
      <x:c r="F393" t="n">
        <x:v>0</x:v>
      </x:c>
      <x:c r="G393" s="10" t="n">
        <x:v>0</x:v>
      </x:c>
      <x:c r="H393" s="10" t="n">
        <x:v>0</x:v>
      </x:c>
      <x:c r="I393" t="n">
        <x:v>0</x:v>
      </x:c>
      <x:c r="J393" s="6" t="n">
        <x:v>0</x:v>
      </x:c>
    </x:row>
    <x:row r="394">
      <x:c r="A394" t="str">
        <x:v>150 60 r17</x:v>
      </x:c>
      <x:c r="B394" t="str">
        <x:v>Medida</x:v>
      </x:c>
      <x:c r="C394" t="n">
        <x:v>2</x:v>
      </x:c>
      <x:c r="D394" t="n">
        <x:v>2</x:v>
      </x:c>
      <x:c r="E394" t="n">
        <x:v>0</x:v>
      </x:c>
      <x:c r="F394" t="n">
        <x:v>0</x:v>
      </x:c>
      <x:c r="G394" s="10" t="n">
        <x:v>0</x:v>
      </x:c>
      <x:c r="H394" s="10" t="n">
        <x:v>0</x:v>
      </x:c>
      <x:c r="I394" t="n">
        <x:v>0</x:v>
      </x:c>
      <x:c r="J394" s="6" t="n">
        <x:v>0</x:v>
      </x:c>
    </x:row>
    <x:row r="395">
      <x:c r="A395" t="str">
        <x:v>kit-x2-185-60-r15-mirage-mr-166-84h</x:v>
      </x:c>
      <x:c r="B395" t="str">
        <x:v>Producto / URL</x:v>
      </x:c>
      <x:c r="C395" t="n">
        <x:v>2</x:v>
      </x:c>
      <x:c r="D395" t="n">
        <x:v>1</x:v>
      </x:c>
      <x:c r="E395" t="n">
        <x:v>0</x:v>
      </x:c>
      <x:c r="F395" t="n">
        <x:v>0</x:v>
      </x:c>
      <x:c r="G395" s="10" t="n">
        <x:v>0</x:v>
      </x:c>
      <x:c r="H395" s="10" t="n">
        <x:v>0</x:v>
      </x:c>
      <x:c r="I395" t="n">
        <x:v>0</x:v>
      </x:c>
      <x:c r="J395" s="6" t="n">
        <x:v>0</x:v>
      </x:c>
    </x:row>
    <x:row r="396">
      <x:c r="A396" t="str">
        <x:v>crosscontact</x:v>
      </x:c>
      <x:c r="B396" t="str">
        <x:v>Otro</x:v>
      </x:c>
      <x:c r="C396" t="n">
        <x:v>2</x:v>
      </x:c>
      <x:c r="D396" t="n">
        <x:v>2</x:v>
      </x:c>
      <x:c r="E396" t="n">
        <x:v>0</x:v>
      </x:c>
      <x:c r="F396" t="n">
        <x:v>0</x:v>
      </x:c>
      <x:c r="G396" s="10" t="n">
        <x:v>0</x:v>
      </x:c>
      <x:c r="H396" s="10" t="n">
        <x:v>0</x:v>
      </x:c>
      <x:c r="I396" t="n">
        <x:v>0</x:v>
      </x:c>
      <x:c r="J396" s="6" t="n">
        <x:v>0</x:v>
      </x:c>
    </x:row>
    <x:row r="397">
      <x:c r="A397" t="str">
        <x:v>205 50</x:v>
      </x:c>
      <x:c r="B397" t="str">
        <x:v>Otro</x:v>
      </x:c>
      <x:c r="C397" t="n">
        <x:v>2</x:v>
      </x:c>
      <x:c r="D397" t="n">
        <x:v>2</x:v>
      </x:c>
      <x:c r="E397" t="n">
        <x:v>1</x:v>
      </x:c>
      <x:c r="F397" t="n">
        <x:v>1</x:v>
      </x:c>
      <x:c r="G397" s="10" t="n">
        <x:v>0.5</x:v>
      </x:c>
      <x:c r="H397" s="10" t="n">
        <x:v>0</x:v>
      </x:c>
      <x:c r="I397" t="n">
        <x:v>0</x:v>
      </x:c>
      <x:c r="J397" s="6" t="n">
        <x:v>0</x:v>
      </x:c>
    </x:row>
    <x:row r="398">
      <x:c r="A398" t="str">
        <x:v>245 35 19</x:v>
      </x:c>
      <x:c r="B398" t="str">
        <x:v>Medida</x:v>
      </x:c>
      <x:c r="C398" t="n">
        <x:v>2</x:v>
      </x:c>
      <x:c r="D398" t="n">
        <x:v>2</x:v>
      </x:c>
      <x:c r="E398" t="n">
        <x:v>0</x:v>
      </x:c>
      <x:c r="F398" t="n">
        <x:v>0</x:v>
      </x:c>
      <x:c r="G398" s="10" t="n">
        <x:v>0</x:v>
      </x:c>
      <x:c r="H398" s="10" t="n">
        <x:v>0</x:v>
      </x:c>
      <x:c r="I398" t="n">
        <x:v>0</x:v>
      </x:c>
      <x:c r="J398" s="6" t="n">
        <x:v>0</x:v>
      </x:c>
    </x:row>
    <x:row r="399">
      <x:c r="A399" t="str">
        <x:v>305</x:v>
      </x:c>
      <x:c r="B399" t="str">
        <x:v>Otro</x:v>
      </x:c>
      <x:c r="C399" t="n">
        <x:v>2</x:v>
      </x:c>
      <x:c r="D399" t="n">
        <x:v>2</x:v>
      </x:c>
      <x:c r="E399" t="n">
        <x:v>0</x:v>
      </x:c>
      <x:c r="F399" t="n">
        <x:v>0</x:v>
      </x:c>
      <x:c r="G399" s="10" t="n">
        <x:v>0</x:v>
      </x:c>
      <x:c r="H399" s="10" t="n">
        <x:v>0</x:v>
      </x:c>
      <x:c r="I399" t="n">
        <x:v>0</x:v>
      </x:c>
      <x:c r="J399" s="6" t="n">
        <x:v>0</x:v>
      </x:c>
    </x:row>
    <x:row r="400">
      <x:c r="A400" t="str">
        <x:v>195 55 r16 87h</x:v>
      </x:c>
      <x:c r="B400" t="str">
        <x:v>Medida</x:v>
      </x:c>
      <x:c r="C400" t="n">
        <x:v>2</x:v>
      </x:c>
      <x:c r="D400" t="n">
        <x:v>2</x:v>
      </x:c>
      <x:c r="E400" t="n">
        <x:v>0</x:v>
      </x:c>
      <x:c r="F400" t="n">
        <x:v>0</x:v>
      </x:c>
      <x:c r="G400" s="10" t="n">
        <x:v>0</x:v>
      </x:c>
      <x:c r="H400" s="10" t="n">
        <x:v>0</x:v>
      </x:c>
      <x:c r="I400" t="n">
        <x:v>0</x:v>
      </x:c>
      <x:c r="J400" s="6" t="n">
        <x:v>0</x:v>
      </x:c>
    </x:row>
    <x:row r="401">
      <x:c r="A401" t="str">
        <x:v>pirelli súper city</x:v>
      </x:c>
      <x:c r="B401" t="str">
        <x:v>Otro</x:v>
      </x:c>
      <x:c r="C401" t="n">
        <x:v>2</x:v>
      </x:c>
      <x:c r="D401" t="n">
        <x:v>2</x:v>
      </x:c>
      <x:c r="E401" t="n">
        <x:v>0</x:v>
      </x:c>
      <x:c r="F401" t="n">
        <x:v>0</x:v>
      </x:c>
      <x:c r="G401" s="10" t="n">
        <x:v>0</x:v>
      </x:c>
      <x:c r="H401" s="10" t="n">
        <x:v>0</x:v>
      </x:c>
      <x:c r="I401" t="n">
        <x:v>0</x:v>
      </x:c>
      <x:c r="J401" s="6" t="n">
        <x:v>0</x:v>
      </x:c>
    </x:row>
    <x:row r="402">
      <x:c r="A402" t="str">
        <x:v>265 65 18</x:v>
      </x:c>
      <x:c r="B402" t="str">
        <x:v>Medida</x:v>
      </x:c>
      <x:c r="C402" t="n">
        <x:v>2</x:v>
      </x:c>
      <x:c r="D402" t="n">
        <x:v>2</x:v>
      </x:c>
      <x:c r="E402" t="n">
        <x:v>0</x:v>
      </x:c>
      <x:c r="F402" t="n">
        <x:v>0</x:v>
      </x:c>
      <x:c r="G402" s="10" t="n">
        <x:v>0</x:v>
      </x:c>
      <x:c r="H402" s="10" t="n">
        <x:v>0</x:v>
      </x:c>
      <x:c r="I402" t="n">
        <x:v>0</x:v>
      </x:c>
      <x:c r="J402" s="6" t="n">
        <x:v>0</x:v>
      </x:c>
    </x:row>
    <x:row r="403">
      <x:c r="A403" t="str">
        <x:v>185 55 15</x:v>
      </x:c>
      <x:c r="B403" t="str">
        <x:v>Medida</x:v>
      </x:c>
      <x:c r="C403" t="n">
        <x:v>2</x:v>
      </x:c>
      <x:c r="D403" t="n">
        <x:v>2</x:v>
      </x:c>
      <x:c r="E403" t="n">
        <x:v>0</x:v>
      </x:c>
      <x:c r="F403" t="n">
        <x:v>0</x:v>
      </x:c>
      <x:c r="G403" s="10" t="n">
        <x:v>0</x:v>
      </x:c>
      <x:c r="H403" s="10" t="n">
        <x:v>0</x:v>
      </x:c>
      <x:c r="I403" t="n">
        <x:v>0</x:v>
      </x:c>
      <x:c r="J403" s="6" t="n">
        <x:v>0</x:v>
      </x:c>
    </x:row>
    <x:row r="404">
      <x:c r="A404" t="str">
        <x:v>205 65 16</x:v>
      </x:c>
      <x:c r="B404" t="str">
        <x:v>Medida</x:v>
      </x:c>
      <x:c r="C404" t="n">
        <x:v>2</x:v>
      </x:c>
      <x:c r="D404" t="n">
        <x:v>2</x:v>
      </x:c>
      <x:c r="E404" t="n">
        <x:v>1</x:v>
      </x:c>
      <x:c r="F404" t="n">
        <x:v>1</x:v>
      </x:c>
      <x:c r="G404" s="10" t="n">
        <x:v>0.5</x:v>
      </x:c>
      <x:c r="H404" s="10" t="n">
        <x:v>0</x:v>
      </x:c>
      <x:c r="I404" t="n">
        <x:v>0</x:v>
      </x:c>
      <x:c r="J404" s="6" t="n">
        <x:v>0</x:v>
      </x:c>
    </x:row>
    <x:row r="405">
      <x:c r="A405" t="str">
        <x:v>michelin 205</x:v>
      </x:c>
      <x:c r="B405" t="str">
        <x:v>Otro</x:v>
      </x:c>
      <x:c r="C405" t="n">
        <x:v>2</x:v>
      </x:c>
      <x:c r="D405" t="n">
        <x:v>1</x:v>
      </x:c>
      <x:c r="E405" t="n">
        <x:v>0</x:v>
      </x:c>
      <x:c r="F405" t="n">
        <x:v>0</x:v>
      </x:c>
      <x:c r="G405" s="10" t="n">
        <x:v>0</x:v>
      </x:c>
      <x:c r="H405" s="10" t="n">
        <x:v>0</x:v>
      </x:c>
      <x:c r="I405" t="n">
        <x:v>0</x:v>
      </x:c>
      <x:c r="J405" s="6" t="n">
        <x:v>0</x:v>
      </x:c>
    </x:row>
    <x:row r="406">
      <x:c r="A406" t="str">
        <x:v>195 75 16</x:v>
      </x:c>
      <x:c r="B406" t="str">
        <x:v>Medida</x:v>
      </x:c>
      <x:c r="C406" t="n">
        <x:v>2</x:v>
      </x:c>
      <x:c r="D406" t="n">
        <x:v>2</x:v>
      </x:c>
      <x:c r="E406" t="n">
        <x:v>0</x:v>
      </x:c>
      <x:c r="F406" t="n">
        <x:v>0</x:v>
      </x:c>
      <x:c r="G406" s="10" t="n">
        <x:v>0</x:v>
      </x:c>
      <x:c r="H406" s="10" t="n">
        <x:v>0</x:v>
      </x:c>
      <x:c r="I406" t="n">
        <x:v>0</x:v>
      </x:c>
      <x:c r="J406" s="6" t="n">
        <x:v>0</x:v>
      </x:c>
    </x:row>
    <x:row r="407">
      <x:c r="A407" t="str">
        <x:v>100-90-10-m-c-61p-reinf-michelin-pilot-street-2-f-r-1</x:v>
      </x:c>
      <x:c r="B407" t="str">
        <x:v>Producto / URL</x:v>
      </x:c>
      <x:c r="C407" t="n">
        <x:v>2</x:v>
      </x:c>
      <x:c r="D407" t="n">
        <x:v>1</x:v>
      </x:c>
      <x:c r="E407" t="n">
        <x:v>0</x:v>
      </x:c>
      <x:c r="F407" t="n">
        <x:v>0</x:v>
      </x:c>
      <x:c r="G407" s="10" t="n">
        <x:v>0</x:v>
      </x:c>
      <x:c r="H407" s="10" t="n">
        <x:v>0</x:v>
      </x:c>
      <x:c r="I407" t="n">
        <x:v>0</x:v>
      </x:c>
      <x:c r="J407" s="6" t="n">
        <x:v>0</x:v>
      </x:c>
    </x:row>
    <x:row r="408">
      <x:c r="A408" t="str">
        <x:v>255 60 18</x:v>
      </x:c>
      <x:c r="B408" t="str">
        <x:v>Medida</x:v>
      </x:c>
      <x:c r="C408" t="n">
        <x:v>2</x:v>
      </x:c>
      <x:c r="D408" t="n">
        <x:v>2</x:v>
      </x:c>
      <x:c r="E408" t="n">
        <x:v>0</x:v>
      </x:c>
      <x:c r="F408" t="n">
        <x:v>0</x:v>
      </x:c>
      <x:c r="G408" s="10" t="n">
        <x:v>0</x:v>
      </x:c>
      <x:c r="H408" s="10" t="n">
        <x:v>0</x:v>
      </x:c>
      <x:c r="I408" t="n">
        <x:v>0</x:v>
      </x:c>
      <x:c r="J408" s="6" t="n">
        <x:v>0</x:v>
      </x:c>
    </x:row>
    <x:row r="409">
      <x:c r="A409" t="str">
        <x:v>110 70 17</x:v>
      </x:c>
      <x:c r="B409" t="str">
        <x:v>Medida</x:v>
      </x:c>
      <x:c r="C409" t="n">
        <x:v>2</x:v>
      </x:c>
      <x:c r="D409" t="n">
        <x:v>2</x:v>
      </x:c>
      <x:c r="E409" t="n">
        <x:v>0</x:v>
      </x:c>
      <x:c r="F409" t="n">
        <x:v>0</x:v>
      </x:c>
      <x:c r="G409" s="10" t="n">
        <x:v>0</x:v>
      </x:c>
      <x:c r="H409" s="10" t="n">
        <x:v>0</x:v>
      </x:c>
      <x:c r="I409" t="n">
        <x:v>0</x:v>
      </x:c>
      <x:c r="J409" s="6" t="n">
        <x:v>0</x:v>
      </x:c>
    </x:row>
    <x:row r="410">
      <x:c r="A410" t="str">
        <x:v>advan v103</x:v>
      </x:c>
      <x:c r="B410" t="str">
        <x:v>Otro</x:v>
      </x:c>
      <x:c r="C410" t="n">
        <x:v>2</x:v>
      </x:c>
      <x:c r="D410" t="n">
        <x:v>2</x:v>
      </x:c>
      <x:c r="E410" t="n">
        <x:v>1</x:v>
      </x:c>
      <x:c r="F410" t="n">
        <x:v>1</x:v>
      </x:c>
      <x:c r="G410" s="10" t="n">
        <x:v>0.5</x:v>
      </x:c>
      <x:c r="H410" s="10" t="n">
        <x:v>0</x:v>
      </x:c>
      <x:c r="I410" t="n">
        <x:v>0</x:v>
      </x:c>
      <x:c r="J410" s="6" t="n">
        <x:v>0</x:v>
      </x:c>
    </x:row>
    <x:row r="411">
      <x:c r="A411" t="str">
        <x:v>37x12.5</x:v>
      </x:c>
      <x:c r="B411" t="str">
        <x:v>Otro</x:v>
      </x:c>
      <x:c r="C411" t="n">
        <x:v>2</x:v>
      </x:c>
      <x:c r="D411" t="n">
        <x:v>2</x:v>
      </x:c>
      <x:c r="E411" t="n">
        <x:v>0</x:v>
      </x:c>
      <x:c r="F411" t="n">
        <x:v>0</x:v>
      </x:c>
      <x:c r="G411" s="10" t="n">
        <x:v>0</x:v>
      </x:c>
      <x:c r="H411" s="10" t="n">
        <x:v>0</x:v>
      </x:c>
      <x:c r="I411" t="n">
        <x:v>0</x:v>
      </x:c>
      <x:c r="J411" s="6" t="n">
        <x:v>0</x:v>
      </x:c>
    </x:row>
    <x:row r="412">
      <x:c r="A412" t="str">
        <x:v>235-45-r18-michelin-primacy-4-plus-98-y</x:v>
      </x:c>
      <x:c r="B412" t="str">
        <x:v>Producto / URL</x:v>
      </x:c>
      <x:c r="C412" t="n">
        <x:v>2</x:v>
      </x:c>
      <x:c r="D412" t="n">
        <x:v>2</x:v>
      </x:c>
      <x:c r="E412" t="n">
        <x:v>0</x:v>
      </x:c>
      <x:c r="F412" t="n">
        <x:v>0</x:v>
      </x:c>
      <x:c r="G412" s="10" t="n">
        <x:v>0</x:v>
      </x:c>
      <x:c r="H412" s="10" t="n">
        <x:v>0</x:v>
      </x:c>
      <x:c r="I412" t="n">
        <x:v>0</x:v>
      </x:c>
      <x:c r="J412" s="6" t="n">
        <x:v>0</x:v>
      </x:c>
    </x:row>
    <x:row r="413">
      <x:c r="A413" t="str">
        <x:v>advantage touring</x:v>
      </x:c>
      <x:c r="B413" t="str">
        <x:v>Otro</x:v>
      </x:c>
      <x:c r="C413" t="n">
        <x:v>2</x:v>
      </x:c>
      <x:c r="D413" t="n">
        <x:v>2</x:v>
      </x:c>
      <x:c r="E413" t="n">
        <x:v>1</x:v>
      </x:c>
      <x:c r="F413" t="n">
        <x:v>1</x:v>
      </x:c>
      <x:c r="G413" s="10" t="n">
        <x:v>0.5</x:v>
      </x:c>
      <x:c r="H413" s="10" t="n">
        <x:v>0</x:v>
      </x:c>
      <x:c r="I413" t="n">
        <x:v>0</x:v>
      </x:c>
      <x:c r="J413" s="6" t="n">
        <x:v>0</x:v>
      </x:c>
    </x:row>
    <x:row r="414">
      <x:c r="A414" t="str">
        <x:v>yokohamq</x:v>
      </x:c>
      <x:c r="B414" t="str">
        <x:v>Otro</x:v>
      </x:c>
      <x:c r="C414" t="n">
        <x:v>2</x:v>
      </x:c>
      <x:c r="D414" t="n">
        <x:v>2</x:v>
      </x:c>
      <x:c r="E414" t="n">
        <x:v>0</x:v>
      </x:c>
      <x:c r="F414" t="n">
        <x:v>0</x:v>
      </x:c>
      <x:c r="G414" s="10" t="n">
        <x:v>0</x:v>
      </x:c>
      <x:c r="H414" s="10" t="n">
        <x:v>0</x:v>
      </x:c>
      <x:c r="I414" t="n">
        <x:v>0</x:v>
      </x:c>
      <x:c r="J414" s="6" t="n">
        <x:v>0</x:v>
      </x:c>
    </x:row>
    <x:row r="415">
      <x:c r="A415" t="str">
        <x:v>215 60 17</x:v>
      </x:c>
      <x:c r="B415" t="str">
        <x:v>Medida</x:v>
      </x:c>
      <x:c r="C415" t="n">
        <x:v>2</x:v>
      </x:c>
      <x:c r="D415" t="n">
        <x:v>2</x:v>
      </x:c>
      <x:c r="E415" t="n">
        <x:v>0</x:v>
      </x:c>
      <x:c r="F415" t="n">
        <x:v>0</x:v>
      </x:c>
      <x:c r="G415" s="10" t="n">
        <x:v>0</x:v>
      </x:c>
      <x:c r="H415" s="10" t="n">
        <x:v>0</x:v>
      </x:c>
      <x:c r="I415" t="n">
        <x:v>0</x:v>
      </x:c>
      <x:c r="J415" s="6" t="n">
        <x:v>0</x:v>
      </x:c>
    </x:row>
    <x:row r="416">
      <x:c r="A416" t="str">
        <x:v>675302</x:v>
      </x:c>
      <x:c r="B416" t="str">
        <x:v>Otro</x:v>
      </x:c>
      <x:c r="C416" t="n">
        <x:v>2</x:v>
      </x:c>
      <x:c r="D416" t="n">
        <x:v>2</x:v>
      </x:c>
      <x:c r="E416" t="n">
        <x:v>0</x:v>
      </x:c>
      <x:c r="F416" t="n">
        <x:v>0</x:v>
      </x:c>
      <x:c r="G416" s="10" t="n">
        <x:v>0</x:v>
      </x:c>
      <x:c r="H416" s="10" t="n">
        <x:v>0</x:v>
      </x:c>
      <x:c r="I416" t="n">
        <x:v>0</x:v>
      </x:c>
      <x:c r="J416" s="6" t="n">
        <x:v>0</x:v>
      </x:c>
    </x:row>
    <x:row r="417">
      <x:c r="A417" t="str">
        <x:v>michelin 185 r14</x:v>
      </x:c>
      <x:c r="B417" t="str">
        <x:v>Otro</x:v>
      </x:c>
      <x:c r="C417" t="n">
        <x:v>2</x:v>
      </x:c>
      <x:c r="D417" t="n">
        <x:v>1</x:v>
      </x:c>
      <x:c r="E417" t="n">
        <x:v>0</x:v>
      </x:c>
      <x:c r="F417" t="n">
        <x:v>0</x:v>
      </x:c>
      <x:c r="G417" s="10" t="n">
        <x:v>0</x:v>
      </x:c>
      <x:c r="H417" s="10" t="n">
        <x:v>0</x:v>
      </x:c>
      <x:c r="I417" t="n">
        <x:v>0</x:v>
      </x:c>
      <x:c r="J417" s="6" t="n">
        <x:v>0</x:v>
      </x:c>
    </x:row>
    <x:row r="418">
      <x:c r="A418" t="str">
        <x:v>266 65 17</x:v>
      </x:c>
      <x:c r="B418" t="str">
        <x:v>Medida</x:v>
      </x:c>
      <x:c r="C418" t="n">
        <x:v>2</x:v>
      </x:c>
      <x:c r="D418" t="n">
        <x:v>2</x:v>
      </x:c>
      <x:c r="E418" t="n">
        <x:v>4</x:v>
      </x:c>
      <x:c r="F418" t="n">
        <x:v>1</x:v>
      </x:c>
      <x:c r="G418" s="10" t="n">
        <x:v>2</x:v>
      </x:c>
      <x:c r="H418" s="10" t="n">
        <x:v>0</x:v>
      </x:c>
      <x:c r="I418" t="n">
        <x:v>0</x:v>
      </x:c>
      <x:c r="J418" s="6" t="n">
        <x:v>0</x:v>
      </x:c>
    </x:row>
    <x:row r="419">
      <x:c r="A419" t="str">
        <x:v>235 55 18</x:v>
      </x:c>
      <x:c r="B419" t="str">
        <x:v>Medida</x:v>
      </x:c>
      <x:c r="C419" t="n">
        <x:v>2</x:v>
      </x:c>
      <x:c r="D419" t="n">
        <x:v>2</x:v>
      </x:c>
      <x:c r="E419" t="n">
        <x:v>5</x:v>
      </x:c>
      <x:c r="F419" t="n">
        <x:v>1</x:v>
      </x:c>
      <x:c r="G419" s="10" t="n">
        <x:v>2.5</x:v>
      </x:c>
      <x:c r="H419" s="10" t="n">
        <x:v>0</x:v>
      </x:c>
      <x:c r="I419" t="n">
        <x:v>0</x:v>
      </x:c>
      <x:c r="J419" s="6" t="n">
        <x:v>0</x:v>
      </x:c>
    </x:row>
    <x:row r="420">
      <x:c r="A420" t="str">
        <x:v>140 70 16</x:v>
      </x:c>
      <x:c r="B420" t="str">
        <x:v>Medida</x:v>
      </x:c>
      <x:c r="C420" t="n">
        <x:v>2</x:v>
      </x:c>
      <x:c r="D420" t="n">
        <x:v>1</x:v>
      </x:c>
      <x:c r="E420" t="n">
        <x:v>0</x:v>
      </x:c>
      <x:c r="F420" t="n">
        <x:v>0</x:v>
      </x:c>
      <x:c r="G420" s="10" t="n">
        <x:v>0</x:v>
      </x:c>
      <x:c r="H420" s="10" t="n">
        <x:v>0</x:v>
      </x:c>
      <x:c r="I420" t="n">
        <x:v>0</x:v>
      </x:c>
      <x:c r="J420" s="6" t="n">
        <x:v>0</x:v>
      </x:c>
    </x:row>
    <x:row r="421">
      <x:c r="A421" t="str">
        <x:v>1955 55 16</x:v>
      </x:c>
      <x:c r="B421" t="str">
        <x:v>Medida</x:v>
      </x:c>
      <x:c r="C421" t="n">
        <x:v>2</x:v>
      </x:c>
      <x:c r="D421" t="n">
        <x:v>2</x:v>
      </x:c>
      <x:c r="E421" t="n">
        <x:v>0</x:v>
      </x:c>
      <x:c r="F421" t="n">
        <x:v>0</x:v>
      </x:c>
      <x:c r="G421" s="10" t="n">
        <x:v>0</x:v>
      </x:c>
      <x:c r="H421" s="10" t="n">
        <x:v>0</x:v>
      </x:c>
      <x:c r="I421" t="n">
        <x:v>0</x:v>
      </x:c>
      <x:c r="J421" s="6" t="n">
        <x:v>0</x:v>
      </x:c>
    </x:row>
    <x:row r="422">
      <x:c r="A422" t="str">
        <x:v>michelín 215</x:v>
      </x:c>
      <x:c r="B422" t="str">
        <x:v>Otro</x:v>
      </x:c>
      <x:c r="C422" t="n">
        <x:v>2</x:v>
      </x:c>
      <x:c r="D422" t="n">
        <x:v>1</x:v>
      </x:c>
      <x:c r="E422" t="n">
        <x:v>0</x:v>
      </x:c>
      <x:c r="F422" t="n">
        <x:v>0</x:v>
      </x:c>
      <x:c r="G422" s="10" t="n">
        <x:v>0</x:v>
      </x:c>
      <x:c r="H422" s="10" t="n">
        <x:v>0</x:v>
      </x:c>
      <x:c r="I422" t="n">
        <x:v>0</x:v>
      </x:c>
      <x:c r="J422" s="6" t="n">
        <x:v>0</x:v>
      </x:c>
    </x:row>
    <x:row r="423">
      <x:c r="A423" t="str">
        <x:v>michelin primacy 5</x:v>
      </x:c>
      <x:c r="B423" t="str">
        <x:v>Otro</x:v>
      </x:c>
      <x:c r="C423" t="n">
        <x:v>2</x:v>
      </x:c>
      <x:c r="D423" t="n">
        <x:v>2</x:v>
      </x:c>
      <x:c r="E423" t="n">
        <x:v>1</x:v>
      </x:c>
      <x:c r="F423" t="n">
        <x:v>1</x:v>
      </x:c>
      <x:c r="G423" s="10" t="n">
        <x:v>0.5</x:v>
      </x:c>
      <x:c r="H423" s="10" t="n">
        <x:v>0</x:v>
      </x:c>
      <x:c r="I423" t="n">
        <x:v>0</x:v>
      </x:c>
      <x:c r="J423" s="6" t="n">
        <x:v>0</x:v>
      </x:c>
    </x:row>
    <x:row r="424">
      <x:c r="A424" t="str">
        <x:v>fate</x:v>
      </x:c>
      <x:c r="B424" t="str">
        <x:v>Marca</x:v>
      </x:c>
      <x:c r="C424" t="n">
        <x:v>2</x:v>
      </x:c>
      <x:c r="D424" t="n">
        <x:v>1</x:v>
      </x:c>
      <x:c r="E424" t="n">
        <x:v>0</x:v>
      </x:c>
      <x:c r="F424" t="n">
        <x:v>0</x:v>
      </x:c>
      <x:c r="G424" s="10" t="n">
        <x:v>0</x:v>
      </x:c>
      <x:c r="H424" s="10" t="n">
        <x:v>0</x:v>
      </x:c>
      <x:c r="I424" t="n">
        <x:v>0</x:v>
      </x:c>
      <x:c r="J424" s="6" t="n">
        <x:v>0</x:v>
      </x:c>
    </x:row>
    <x:row r="425">
      <x:c r="A425" t="str">
        <x:v>225-45-zr17-michelin-pilot-sport-5-94-y</x:v>
      </x:c>
      <x:c r="B425" t="str">
        <x:v>Otro</x:v>
      </x:c>
      <x:c r="C425" t="n">
        <x:v>2</x:v>
      </x:c>
      <x:c r="D425" t="n">
        <x:v>2</x:v>
      </x:c>
      <x:c r="E425" t="n">
        <x:v>0</x:v>
      </x:c>
      <x:c r="F425" t="n">
        <x:v>0</x:v>
      </x:c>
      <x:c r="G425" s="10" t="n">
        <x:v>0</x:v>
      </x:c>
      <x:c r="H425" s="10" t="n">
        <x:v>0</x:v>
      </x:c>
      <x:c r="I425" t="n">
        <x:v>0</x:v>
      </x:c>
      <x:c r="J425" s="6" t="n">
        <x:v>0</x:v>
      </x:c>
    </x:row>
    <x:row r="426">
      <x:c r="A426" t="str">
        <x:v>155</x:v>
      </x:c>
      <x:c r="B426" t="str">
        <x:v>Otro</x:v>
      </x:c>
      <x:c r="C426" t="n">
        <x:v>2</x:v>
      </x:c>
      <x:c r="D426" t="n">
        <x:v>2</x:v>
      </x:c>
      <x:c r="E426" t="n">
        <x:v>0</x:v>
      </x:c>
      <x:c r="F426" t="n">
        <x:v>0</x:v>
      </x:c>
      <x:c r="G426" s="10" t="n">
        <x:v>0</x:v>
      </x:c>
      <x:c r="H426" s="10" t="n">
        <x:v>0</x:v>
      </x:c>
      <x:c r="I426" t="n">
        <x:v>0</x:v>
      </x:c>
      <x:c r="J426" s="6" t="n">
        <x:v>0</x:v>
      </x:c>
    </x:row>
    <x:row r="427">
      <x:c r="A427" t="str">
        <x:v>255 70 r18</x:v>
      </x:c>
      <x:c r="B427" t="str">
        <x:v>Medida</x:v>
      </x:c>
      <x:c r="C427" t="n">
        <x:v>2</x:v>
      </x:c>
      <x:c r="D427" t="n">
        <x:v>1</x:v>
      </x:c>
      <x:c r="E427" t="n">
        <x:v>1</x:v>
      </x:c>
      <x:c r="F427" t="n">
        <x:v>1</x:v>
      </x:c>
      <x:c r="G427" s="10" t="n">
        <x:v>0.5</x:v>
      </x:c>
      <x:c r="H427" s="10" t="n">
        <x:v>0</x:v>
      </x:c>
      <x:c r="I427" t="n">
        <x:v>0</x:v>
      </x:c>
      <x:c r="J427" s="6" t="n">
        <x:v>0</x:v>
      </x:c>
    </x:row>
    <x:row r="428">
      <x:c r="A428" t="str">
        <x:v>227</x:v>
      </x:c>
      <x:c r="B428" t="str">
        <x:v>Otro</x:v>
      </x:c>
      <x:c r="C428" t="n">
        <x:v>2</x:v>
      </x:c>
      <x:c r="D428" t="n">
        <x:v>2</x:v>
      </x:c>
      <x:c r="E428" t="n">
        <x:v>0</x:v>
      </x:c>
      <x:c r="F428" t="n">
        <x:v>0</x:v>
      </x:c>
      <x:c r="G428" s="10" t="n">
        <x:v>0</x:v>
      </x:c>
      <x:c r="H428" s="10" t="n">
        <x:v>0</x:v>
      </x:c>
      <x:c r="I428" t="n">
        <x:v>0</x:v>
      </x:c>
      <x:c r="J428" s="6" t="n">
        <x:v>0</x:v>
      </x:c>
    </x:row>
    <x:row r="429">
      <x:c r="A429" t="str">
        <x:v>60 r15</x:v>
      </x:c>
      <x:c r="B429" t="str">
        <x:v>Otro</x:v>
      </x:c>
      <x:c r="C429" t="n">
        <x:v>2</x:v>
      </x:c>
      <x:c r="D429" t="n">
        <x:v>2</x:v>
      </x:c>
      <x:c r="E429" t="n">
        <x:v>0</x:v>
      </x:c>
      <x:c r="F429" t="n">
        <x:v>0</x:v>
      </x:c>
      <x:c r="G429" s="10" t="n">
        <x:v>0</x:v>
      </x:c>
      <x:c r="H429" s="10" t="n">
        <x:v>0</x:v>
      </x:c>
      <x:c r="I429" t="n">
        <x:v>0</x:v>
      </x:c>
      <x:c r="J429" s="6" t="n">
        <x:v>0</x:v>
      </x:c>
    </x:row>
    <x:row r="430">
      <x:c r="A430" t="str">
        <x:v>255-59-29</x:v>
      </x:c>
      <x:c r="B430" t="str">
        <x:v>Medida</x:v>
      </x:c>
      <x:c r="C430" t="n">
        <x:v>2</x:v>
      </x:c>
      <x:c r="D430" t="n">
        <x:v>1</x:v>
      </x:c>
      <x:c r="E430" t="n">
        <x:v>0</x:v>
      </x:c>
      <x:c r="F430" t="n">
        <x:v>0</x:v>
      </x:c>
      <x:c r="G430" s="10" t="n">
        <x:v>0</x:v>
      </x:c>
      <x:c r="H430" s="10" t="n">
        <x:v>0</x:v>
      </x:c>
      <x:c r="I430" t="n">
        <x:v>0</x:v>
      </x:c>
      <x:c r="J430" s="6" t="n">
        <x:v>0</x:v>
      </x:c>
    </x:row>
    <x:row r="431">
      <x:c r="A431" t="str">
        <x:v>michelin city extra 70</x:v>
      </x:c>
      <x:c r="B431" t="str">
        <x:v>Otro</x:v>
      </x:c>
      <x:c r="C431" t="n">
        <x:v>2</x:v>
      </x:c>
      <x:c r="D431" t="n">
        <x:v>1</x:v>
      </x:c>
      <x:c r="E431" t="n">
        <x:v>0</x:v>
      </x:c>
      <x:c r="F431" t="n">
        <x:v>0</x:v>
      </x:c>
      <x:c r="G431" s="10" t="n">
        <x:v>0</x:v>
      </x:c>
      <x:c r="H431" s="10" t="n">
        <x:v>0</x:v>
      </x:c>
      <x:c r="I431" t="n">
        <x:v>0</x:v>
      </x:c>
      <x:c r="J431" s="6" t="n">
        <x:v>0</x:v>
      </x:c>
    </x:row>
    <x:row r="432">
      <x:c r="A432" t="str">
        <x:v>https:</x:v>
      </x:c>
      <x:c r="B432" t="str">
        <x:v>Otro</x:v>
      </x:c>
      <x:c r="C432" t="n">
        <x:v>2</x:v>
      </x:c>
      <x:c r="D432" t="n">
        <x:v>2</x:v>
      </x:c>
      <x:c r="E432" t="n">
        <x:v>0</x:v>
      </x:c>
      <x:c r="F432" t="n">
        <x:v>0</x:v>
      </x:c>
      <x:c r="G432" s="10" t="n">
        <x:v>0</x:v>
      </x:c>
      <x:c r="H432" s="10" t="n">
        <x:v>0</x:v>
      </x:c>
      <x:c r="I432" t="n">
        <x:v>0</x:v>
      </x:c>
      <x:c r="J432" s="6" t="n">
        <x:v>0</x:v>
      </x:c>
    </x:row>
    <x:row r="433">
      <x:c r="A433" t="str">
        <x:v>r2471</x:v>
      </x:c>
      <x:c r="B433" t="str">
        <x:v>Otro</x:v>
      </x:c>
      <x:c r="C433" t="n">
        <x:v>2</x:v>
      </x:c>
      <x:c r="D433" t="n">
        <x:v>2</x:v>
      </x:c>
      <x:c r="E433" t="n">
        <x:v>0</x:v>
      </x:c>
      <x:c r="F433" t="n">
        <x:v>0</x:v>
      </x:c>
      <x:c r="G433" s="10" t="n">
        <x:v>0</x:v>
      </x:c>
      <x:c r="H433" s="10" t="n">
        <x:v>0</x:v>
      </x:c>
      <x:c r="I433" t="n">
        <x:v>0</x:v>
      </x:c>
      <x:c r="J433" s="6" t="n">
        <x:v>0</x:v>
      </x:c>
    </x:row>
    <x:row r="434">
      <x:c r="A434" t="str">
        <x:v>michelin--y-bfgoodrich</x:v>
      </x:c>
      <x:c r="B434" t="str">
        <x:v>Otro</x:v>
      </x:c>
      <x:c r="C434" t="n">
        <x:v>2</x:v>
      </x:c>
      <x:c r="D434" t="n">
        <x:v>2</x:v>
      </x:c>
      <x:c r="E434" t="n">
        <x:v>0</x:v>
      </x:c>
      <x:c r="F434" t="n">
        <x:v>0</x:v>
      </x:c>
      <x:c r="G434" s="10" t="n">
        <x:v>0</x:v>
      </x:c>
      <x:c r="H434" s="10" t="n">
        <x:v>0</x:v>
      </x:c>
      <x:c r="I434" t="n">
        <x:v>0</x:v>
      </x:c>
      <x:c r="J434" s="6" t="n">
        <x:v>0</x:v>
      </x:c>
    </x:row>
    <x:row r="435">
      <x:c r="A435" t="str">
        <x:v>275 70 18</x:v>
      </x:c>
      <x:c r="B435" t="str">
        <x:v>Medida</x:v>
      </x:c>
      <x:c r="C435" t="n">
        <x:v>2</x:v>
      </x:c>
      <x:c r="D435" t="n">
        <x:v>2</x:v>
      </x:c>
      <x:c r="E435" t="n">
        <x:v>0</x:v>
      </x:c>
      <x:c r="F435" t="n">
        <x:v>0</x:v>
      </x:c>
      <x:c r="G435" s="10" t="n">
        <x:v>0</x:v>
      </x:c>
      <x:c r="H435" s="10" t="n">
        <x:v>0</x:v>
      </x:c>
      <x:c r="I435" t="n">
        <x:v>0</x:v>
      </x:c>
      <x:c r="J435" s="6" t="n">
        <x:v>0</x:v>
      </x:c>
    </x:row>
    <x:row r="436">
      <x:c r="A436" t="str">
        <x:v>265 65 r16</x:v>
      </x:c>
      <x:c r="B436" t="str">
        <x:v>Medida</x:v>
      </x:c>
      <x:c r="C436" t="n">
        <x:v>2</x:v>
      </x:c>
      <x:c r="D436" t="n">
        <x:v>1</x:v>
      </x:c>
      <x:c r="E436" t="n">
        <x:v>0</x:v>
      </x:c>
      <x:c r="F436" t="n">
        <x:v>0</x:v>
      </x:c>
      <x:c r="G436" s="10" t="n">
        <x:v>0</x:v>
      </x:c>
      <x:c r="H436" s="10" t="n">
        <x:v>0</x:v>
      </x:c>
      <x:c r="I436" t="n">
        <x:v>0</x:v>
      </x:c>
      <x:c r="J436" s="6" t="n">
        <x:v>0</x:v>
      </x:c>
    </x:row>
    <x:row r="437">
      <x:c r="A437" t="str">
        <x:v>225 55 er19</x:v>
      </x:c>
      <x:c r="B437" t="str">
        <x:v>Otro</x:v>
      </x:c>
      <x:c r="C437" t="n">
        <x:v>2</x:v>
      </x:c>
      <x:c r="D437" t="n">
        <x:v>2</x:v>
      </x:c>
      <x:c r="E437" t="n">
        <x:v>0</x:v>
      </x:c>
      <x:c r="F437" t="n">
        <x:v>0</x:v>
      </x:c>
      <x:c r="G437" s="10" t="n">
        <x:v>0</x:v>
      </x:c>
      <x:c r="H437" s="10" t="n">
        <x:v>0</x:v>
      </x:c>
      <x:c r="I437" t="n">
        <x:v>0</x:v>
      </x:c>
      <x:c r="J437" s="6" t="n">
        <x:v>0</x:v>
      </x:c>
    </x:row>
    <x:row r="438">
      <x:c r="A438" t="str">
        <x:v>neumáticos r15 205 65</x:v>
      </x:c>
      <x:c r="B438" t="str">
        <x:v>Otro</x:v>
      </x:c>
      <x:c r="C438" t="n">
        <x:v>2</x:v>
      </x:c>
      <x:c r="D438" t="n">
        <x:v>2</x:v>
      </x:c>
      <x:c r="E438" t="n">
        <x:v>0</x:v>
      </x:c>
      <x:c r="F438" t="n">
        <x:v>0</x:v>
      </x:c>
      <x:c r="G438" s="10" t="n">
        <x:v>0</x:v>
      </x:c>
      <x:c r="H438" s="10" t="n">
        <x:v>0</x:v>
      </x:c>
      <x:c r="I438" t="n">
        <x:v>0</x:v>
      </x:c>
      <x:c r="J438" s="6" t="n">
        <x:v>0</x:v>
      </x:c>
    </x:row>
    <x:row r="439">
      <x:c r="A439" t="str">
        <x:v>245-65-17</x:v>
      </x:c>
      <x:c r="B439" t="str">
        <x:v>Medida</x:v>
      </x:c>
      <x:c r="C439" t="n">
        <x:v>2</x:v>
      </x:c>
      <x:c r="D439" t="n">
        <x:v>2</x:v>
      </x:c>
      <x:c r="E439" t="n">
        <x:v>0</x:v>
      </x:c>
      <x:c r="F439" t="n">
        <x:v>0</x:v>
      </x:c>
      <x:c r="G439" s="10" t="n">
        <x:v>0</x:v>
      </x:c>
      <x:c r="H439" s="10" t="n">
        <x:v>0</x:v>
      </x:c>
      <x:c r="I439" t="n">
        <x:v>0</x:v>
      </x:c>
      <x:c r="J439" s="6" t="n">
        <x:v>0</x:v>
      </x:c>
    </x:row>
    <x:row r="440">
      <x:c r="A440" t="str">
        <x:v>242</x:v>
      </x:c>
      <x:c r="B440" t="str">
        <x:v>Otro</x:v>
      </x:c>
      <x:c r="C440" t="n">
        <x:v>2</x:v>
      </x:c>
      <x:c r="D440" t="n">
        <x:v>2</x:v>
      </x:c>
      <x:c r="E440" t="n">
        <x:v>0</x:v>
      </x:c>
      <x:c r="F440" t="n">
        <x:v>0</x:v>
      </x:c>
      <x:c r="G440" s="10" t="n">
        <x:v>0</x:v>
      </x:c>
      <x:c r="H440" s="10" t="n">
        <x:v>0</x:v>
      </x:c>
      <x:c r="I440" t="n">
        <x:v>0</x:v>
      </x:c>
      <x:c r="J440" s="6" t="n">
        <x:v>0</x:v>
      </x:c>
    </x:row>
    <x:row r="441">
      <x:c r="A441" t="str">
        <x:v>265 60 20</x:v>
      </x:c>
      <x:c r="B441" t="str">
        <x:v>Medida</x:v>
      </x:c>
      <x:c r="C441" t="n">
        <x:v>2</x:v>
      </x:c>
      <x:c r="D441" t="n">
        <x:v>2</x:v>
      </x:c>
      <x:c r="E441" t="n">
        <x:v>0</x:v>
      </x:c>
      <x:c r="F441" t="n">
        <x:v>0</x:v>
      </x:c>
      <x:c r="G441" s="10" t="n">
        <x:v>0</x:v>
      </x:c>
      <x:c r="H441" s="10" t="n">
        <x:v>0</x:v>
      </x:c>
      <x:c r="I441" t="n">
        <x:v>0</x:v>
      </x:c>
      <x:c r="J441" s="6" t="n">
        <x:v>0</x:v>
      </x:c>
    </x:row>
    <x:row r="442">
      <x:c r="A442" t="str">
        <x:v>17 225 45</x:v>
      </x:c>
      <x:c r="B442" t="str">
        <x:v>Otro</x:v>
      </x:c>
      <x:c r="C442" t="n">
        <x:v>2</x:v>
      </x:c>
      <x:c r="D442" t="n">
        <x:v>1</x:v>
      </x:c>
      <x:c r="E442" t="n">
        <x:v>0</x:v>
      </x:c>
      <x:c r="F442" t="n">
        <x:v>0</x:v>
      </x:c>
      <x:c r="G442" s="10" t="n">
        <x:v>0</x:v>
      </x:c>
      <x:c r="H442" s="10" t="n">
        <x:v>0</x:v>
      </x:c>
      <x:c r="I442" t="n">
        <x:v>0</x:v>
      </x:c>
      <x:c r="J442" s="6" t="n">
        <x:v>0</x:v>
      </x:c>
    </x:row>
    <x:row r="443">
      <x:c r="A443" t="str">
        <x:v>265 60 18 ltx</x:v>
      </x:c>
      <x:c r="B443" t="str">
        <x:v>Medida</x:v>
      </x:c>
      <x:c r="C443" t="n">
        <x:v>2</x:v>
      </x:c>
      <x:c r="D443" t="n">
        <x:v>2</x:v>
      </x:c>
      <x:c r="E443" t="n">
        <x:v>0</x:v>
      </x:c>
      <x:c r="F443" t="n">
        <x:v>0</x:v>
      </x:c>
      <x:c r="G443" s="10" t="n">
        <x:v>0</x:v>
      </x:c>
      <x:c r="H443" s="10" t="n">
        <x:v>0</x:v>
      </x:c>
      <x:c r="I443" t="n">
        <x:v>0</x:v>
      </x:c>
      <x:c r="J443" s="6" t="n">
        <x:v>0</x:v>
      </x:c>
    </x:row>
    <x:row r="444">
      <x:c r="A444" t="str">
        <x:v>175 65</x:v>
      </x:c>
      <x:c r="B444" t="str">
        <x:v>Otro</x:v>
      </x:c>
      <x:c r="C444" t="n">
        <x:v>2</x:v>
      </x:c>
      <x:c r="D444" t="n">
        <x:v>2</x:v>
      </x:c>
      <x:c r="E444" t="n">
        <x:v>0</x:v>
      </x:c>
      <x:c r="F444" t="n">
        <x:v>0</x:v>
      </x:c>
      <x:c r="G444" s="10" t="n">
        <x:v>0</x:v>
      </x:c>
      <x:c r="H444" s="10" t="n">
        <x:v>0</x:v>
      </x:c>
      <x:c r="I444" t="n">
        <x:v>0</x:v>
      </x:c>
      <x:c r="J444" s="6" t="n">
        <x:v>0</x:v>
      </x:c>
    </x:row>
    <x:row r="445">
      <x:c r="A445" t="str">
        <x:v>255 60</x:v>
      </x:c>
      <x:c r="B445" t="str">
        <x:v>Otro</x:v>
      </x:c>
      <x:c r="C445" t="n">
        <x:v>2</x:v>
      </x:c>
      <x:c r="D445" t="n">
        <x:v>1</x:v>
      </x:c>
      <x:c r="E445" t="n">
        <x:v>0</x:v>
      </x:c>
      <x:c r="F445" t="n">
        <x:v>0</x:v>
      </x:c>
      <x:c r="G445" s="10" t="n">
        <x:v>0</x:v>
      </x:c>
      <x:c r="H445" s="10" t="n">
        <x:v>0</x:v>
      </x:c>
      <x:c r="I445" t="n">
        <x:v>0</x:v>
      </x:c>
      <x:c r="J445" s="6" t="n">
        <x:v>0</x:v>
      </x:c>
    </x:row>
    <x:row r="446">
      <x:c r="A446" t="str">
        <x:v>33x12.50 r15</x:v>
      </x:c>
      <x:c r="B446" t="str">
        <x:v>Otro</x:v>
      </x:c>
      <x:c r="C446" t="n">
        <x:v>2</x:v>
      </x:c>
      <x:c r="D446" t="n">
        <x:v>2</x:v>
      </x:c>
      <x:c r="E446" t="n">
        <x:v>0</x:v>
      </x:c>
      <x:c r="F446" t="n">
        <x:v>0</x:v>
      </x:c>
      <x:c r="G446" s="10" t="n">
        <x:v>0</x:v>
      </x:c>
      <x:c r="H446" s="10" t="n">
        <x:v>0</x:v>
      </x:c>
      <x:c r="I446" t="n">
        <x:v>0</x:v>
      </x:c>
      <x:c r="J446" s="6" t="n">
        <x:v>0</x:v>
      </x:c>
    </x:row>
    <x:row r="447">
      <x:c r="A447" t="str">
        <x:v>utilitarios</x:v>
      </x:c>
      <x:c r="B447" t="str">
        <x:v>Otro</x:v>
      </x:c>
      <x:c r="C447" t="n">
        <x:v>2</x:v>
      </x:c>
      <x:c r="D447" t="n">
        <x:v>2</x:v>
      </x:c>
      <x:c r="E447" t="n">
        <x:v>0</x:v>
      </x:c>
      <x:c r="F447" t="n">
        <x:v>0</x:v>
      </x:c>
      <x:c r="G447" s="10" t="n">
        <x:v>0</x:v>
      </x:c>
      <x:c r="H447" s="10" t="n">
        <x:v>0</x:v>
      </x:c>
      <x:c r="I447" t="n">
        <x:v>0</x:v>
      </x:c>
      <x:c r="J447" s="6" t="n">
        <x:v>0</x:v>
      </x:c>
    </x:row>
    <x:row r="448">
      <x:c r="A448" t="str">
        <x:v>120 90 18</x:v>
      </x:c>
      <x:c r="B448" t="str">
        <x:v>Medida</x:v>
      </x:c>
      <x:c r="C448" t="n">
        <x:v>2</x:v>
      </x:c>
      <x:c r="D448" t="n">
        <x:v>2</x:v>
      </x:c>
      <x:c r="E448" t="n">
        <x:v>0</x:v>
      </x:c>
      <x:c r="F448" t="n">
        <x:v>0</x:v>
      </x:c>
      <x:c r="G448" s="10" t="n">
        <x:v>0</x:v>
      </x:c>
      <x:c r="H448" s="10" t="n">
        <x:v>0</x:v>
      </x:c>
      <x:c r="I448" t="n">
        <x:v>0</x:v>
      </x:c>
      <x:c r="J448" s="6" t="n">
        <x:v>0</x:v>
      </x:c>
    </x:row>
    <x:row r="449">
      <x:c r="A449" t="str">
        <x:v>195 70 15</x:v>
      </x:c>
      <x:c r="B449" t="str">
        <x:v>Medida</x:v>
      </x:c>
      <x:c r="C449" t="n">
        <x:v>2</x:v>
      </x:c>
      <x:c r="D449" t="n">
        <x:v>2</x:v>
      </x:c>
      <x:c r="E449" t="n">
        <x:v>0</x:v>
      </x:c>
      <x:c r="F449" t="n">
        <x:v>0</x:v>
      </x:c>
      <x:c r="G449" s="10" t="n">
        <x:v>0</x:v>
      </x:c>
      <x:c r="H449" s="10" t="n">
        <x:v>0</x:v>
      </x:c>
      <x:c r="I449" t="n">
        <x:v>0</x:v>
      </x:c>
      <x:c r="J449" s="6" t="n">
        <x:v>0</x:v>
      </x:c>
    </x:row>
    <x:row r="450">
      <x:c r="A450" t="str">
        <x:v>rimacy</x:v>
      </x:c>
      <x:c r="B450" t="str">
        <x:v>Otro</x:v>
      </x:c>
      <x:c r="C450" t="n">
        <x:v>2</x:v>
      </x:c>
      <x:c r="D450" t="n">
        <x:v>2</x:v>
      </x:c>
      <x:c r="E450" t="n">
        <x:v>1</x:v>
      </x:c>
      <x:c r="F450" t="n">
        <x:v>1</x:v>
      </x:c>
      <x:c r="G450" s="10" t="n">
        <x:v>0.5</x:v>
      </x:c>
      <x:c r="H450" s="10" t="n">
        <x:v>0</x:v>
      </x:c>
      <x:c r="I450" t="n">
        <x:v>0</x:v>
      </x:c>
      <x:c r="J450" s="6" t="n">
        <x:v>0</x:v>
      </x:c>
    </x:row>
    <x:row r="451">
      <x:c r="A451" t="str">
        <x:v>285-70-r17-bfgoodrich-trail-terrain-ta-117-t</x:v>
      </x:c>
      <x:c r="B451" t="str">
        <x:v>Producto / URL</x:v>
      </x:c>
      <x:c r="C451" t="n">
        <x:v>2</x:v>
      </x:c>
      <x:c r="D451" t="n">
        <x:v>2</x:v>
      </x:c>
      <x:c r="E451" t="n">
        <x:v>0</x:v>
      </x:c>
      <x:c r="F451" t="n">
        <x:v>0</x:v>
      </x:c>
      <x:c r="G451" s="10" t="n">
        <x:v>0</x:v>
      </x:c>
      <x:c r="H451" s="10" t="n">
        <x:v>0</x:v>
      </x:c>
      <x:c r="I451" t="n">
        <x:v>0</x:v>
      </x:c>
      <x:c r="J451" s="6" t="n">
        <x:v>0</x:v>
      </x:c>
    </x:row>
    <x:row r="452">
      <x:c r="A452" t="str">
        <x:v>neumático 237 55 r17</x:v>
      </x:c>
      <x:c r="B452" t="str">
        <x:v>Medida</x:v>
      </x:c>
      <x:c r="C452" t="n">
        <x:v>2</x:v>
      </x:c>
      <x:c r="D452" t="n">
        <x:v>1</x:v>
      </x:c>
      <x:c r="E452" t="n">
        <x:v>1</x:v>
      </x:c>
      <x:c r="F452" t="n">
        <x:v>1</x:v>
      </x:c>
      <x:c r="G452" s="10" t="n">
        <x:v>0.5</x:v>
      </x:c>
      <x:c r="H452" s="10" t="n">
        <x:v>0</x:v>
      </x:c>
      <x:c r="I452" t="n">
        <x:v>0</x:v>
      </x:c>
      <x:c r="J452" s="6" t="n">
        <x:v>0</x:v>
      </x:c>
    </x:row>
    <x:row r="453">
      <x:c r="A453" t="str">
        <x:v>2457016</x:v>
      </x:c>
      <x:c r="B453" t="str">
        <x:v>Otro</x:v>
      </x:c>
      <x:c r="C453" t="n">
        <x:v>2</x:v>
      </x:c>
      <x:c r="D453" t="n">
        <x:v>2</x:v>
      </x:c>
      <x:c r="E453" t="n">
        <x:v>0</x:v>
      </x:c>
      <x:c r="F453" t="n">
        <x:v>0</x:v>
      </x:c>
      <x:c r="G453" s="10" t="n">
        <x:v>0</x:v>
      </x:c>
      <x:c r="H453" s="10" t="n">
        <x:v>0</x:v>
      </x:c>
      <x:c r="I453" t="n">
        <x:v>0</x:v>
      </x:c>
      <x:c r="J453" s="6" t="n">
        <x:v>0</x:v>
      </x:c>
    </x:row>
    <x:row r="454">
      <x:c r="A454" t="str">
        <x:v>235-65-r17-michelin-ltx-force-104t</x:v>
      </x:c>
      <x:c r="B454" t="str">
        <x:v>Producto / URL</x:v>
      </x:c>
      <x:c r="C454" t="n">
        <x:v>2</x:v>
      </x:c>
      <x:c r="D454" t="n">
        <x:v>2</x:v>
      </x:c>
      <x:c r="E454" t="n">
        <x:v>0</x:v>
      </x:c>
      <x:c r="F454" t="n">
        <x:v>0</x:v>
      </x:c>
      <x:c r="G454" s="10" t="n">
        <x:v>0</x:v>
      </x:c>
      <x:c r="H454" s="10" t="n">
        <x:v>0</x:v>
      </x:c>
      <x:c r="I454" t="n">
        <x:v>0</x:v>
      </x:c>
      <x:c r="J454" s="6" t="n">
        <x:v>0</x:v>
      </x:c>
    </x:row>
    <x:row r="455">
      <x:c r="A455" t="str">
        <x:v>110</x:v>
      </x:c>
      <x:c r="B455" t="str">
        <x:v>Otro</x:v>
      </x:c>
      <x:c r="C455" t="n">
        <x:v>2</x:v>
      </x:c>
      <x:c r="D455" t="n">
        <x:v>1</x:v>
      </x:c>
      <x:c r="E455" t="n">
        <x:v>0</x:v>
      </x:c>
      <x:c r="F455" t="n">
        <x:v>0</x:v>
      </x:c>
      <x:c r="G455" s="10" t="n">
        <x:v>0</x:v>
      </x:c>
      <x:c r="H455" s="10" t="n">
        <x:v>0</x:v>
      </x:c>
      <x:c r="I455" t="n">
        <x:v>0</x:v>
      </x:c>
      <x:c r="J455" s="6" t="n">
        <x:v>0</x:v>
      </x:c>
    </x:row>
    <x:row r="456">
      <x:c r="A456" t="str">
        <x:v>210 55 17</x:v>
      </x:c>
      <x:c r="B456" t="str">
        <x:v>Medida</x:v>
      </x:c>
      <x:c r="C456" t="n">
        <x:v>2</x:v>
      </x:c>
      <x:c r="D456" t="n">
        <x:v>2</x:v>
      </x:c>
      <x:c r="E456" t="n">
        <x:v>1</x:v>
      </x:c>
      <x:c r="F456" t="n">
        <x:v>1</x:v>
      </x:c>
      <x:c r="G456" s="10" t="n">
        <x:v>0.5</x:v>
      </x:c>
      <x:c r="H456" s="10" t="n">
        <x:v>0</x:v>
      </x:c>
      <x:c r="I456" t="n">
        <x:v>0</x:v>
      </x:c>
      <x:c r="J456" s="6" t="n">
        <x:v>0</x:v>
      </x:c>
    </x:row>
    <x:row r="457">
      <x:c r="A457" t="str">
        <x:v>205-50-r16-michelin-pilot-sport-3-87v</x:v>
      </x:c>
      <x:c r="B457" t="str">
        <x:v>Producto / URL</x:v>
      </x:c>
      <x:c r="C457" t="n">
        <x:v>2</x:v>
      </x:c>
      <x:c r="D457" t="n">
        <x:v>2</x:v>
      </x:c>
      <x:c r="E457" t="n">
        <x:v>0</x:v>
      </x:c>
      <x:c r="F457" t="n">
        <x:v>0</x:v>
      </x:c>
      <x:c r="G457" s="10" t="n">
        <x:v>0</x:v>
      </x:c>
      <x:c r="H457" s="10" t="n">
        <x:v>0</x:v>
      </x:c>
      <x:c r="I457" t="n">
        <x:v>0</x:v>
      </x:c>
      <x:c r="J457" s="6" t="n">
        <x:v>0</x:v>
      </x:c>
    </x:row>
    <x:row r="458">
      <x:c r="A458" t="str">
        <x:v>17 all</x:v>
      </x:c>
      <x:c r="B458" t="str">
        <x:v>Otro</x:v>
      </x:c>
      <x:c r="C458" t="n">
        <x:v>2</x:v>
      </x:c>
      <x:c r="D458" t="n">
        <x:v>2</x:v>
      </x:c>
      <x:c r="E458" t="n">
        <x:v>0</x:v>
      </x:c>
      <x:c r="F458" t="n">
        <x:v>0</x:v>
      </x:c>
      <x:c r="G458" s="10" t="n">
        <x:v>0</x:v>
      </x:c>
      <x:c r="H458" s="10" t="n">
        <x:v>0</x:v>
      </x:c>
      <x:c r="I458" t="n">
        <x:v>0</x:v>
      </x:c>
      <x:c r="J458" s="6" t="n">
        <x:v>0</x:v>
      </x:c>
    </x:row>
    <x:row r="459">
      <x:c r="A459" t="str">
        <x:v>265-70-r16-yokohama-geolandar-g015-112h</x:v>
      </x:c>
      <x:c r="B459" t="str">
        <x:v>Producto / URL</x:v>
      </x:c>
      <x:c r="C459" t="n">
        <x:v>2</x:v>
      </x:c>
      <x:c r="D459" t="n">
        <x:v>2</x:v>
      </x:c>
      <x:c r="E459" t="n">
        <x:v>0</x:v>
      </x:c>
      <x:c r="F459" t="n">
        <x:v>0</x:v>
      </x:c>
      <x:c r="G459" s="10" t="n">
        <x:v>0</x:v>
      </x:c>
      <x:c r="H459" s="10" t="n">
        <x:v>0</x:v>
      </x:c>
      <x:c r="I459" t="n">
        <x:v>0</x:v>
      </x:c>
      <x:c r="J459" s="6" t="n">
        <x:v>0</x:v>
      </x:c>
    </x:row>
    <x:row r="460">
      <x:c r="A460" t="str">
        <x:v>100 90 19</x:v>
      </x:c>
      <x:c r="B460" t="str">
        <x:v>Medida</x:v>
      </x:c>
      <x:c r="C460" t="n">
        <x:v>2</x:v>
      </x:c>
      <x:c r="D460" t="n">
        <x:v>2</x:v>
      </x:c>
      <x:c r="E460" t="n">
        <x:v>1</x:v>
      </x:c>
      <x:c r="F460" t="n">
        <x:v>1</x:v>
      </x:c>
      <x:c r="G460" s="10" t="n">
        <x:v>0.5</x:v>
      </x:c>
      <x:c r="H460" s="10" t="n">
        <x:v>0</x:v>
      </x:c>
      <x:c r="I460" t="n">
        <x:v>0</x:v>
      </x:c>
      <x:c r="J460" s="6" t="n">
        <x:v>0</x:v>
      </x:c>
    </x:row>
    <x:row r="461">
      <x:c r="A461" t="str">
        <x:v>ice</x:v>
      </x:c>
      <x:c r="B461" t="str">
        <x:v>Otro</x:v>
      </x:c>
      <x:c r="C461" t="n">
        <x:v>2</x:v>
      </x:c>
      <x:c r="D461" t="n">
        <x:v>2</x:v>
      </x:c>
      <x:c r="E461" t="n">
        <x:v>0</x:v>
      </x:c>
      <x:c r="F461" t="n">
        <x:v>0</x:v>
      </x:c>
      <x:c r="G461" s="10" t="n">
        <x:v>0</x:v>
      </x:c>
      <x:c r="H461" s="10" t="n">
        <x:v>0</x:v>
      </x:c>
      <x:c r="I461" t="n">
        <x:v>0</x:v>
      </x:c>
      <x:c r="J461" s="6" t="n">
        <x:v>0</x:v>
      </x:c>
    </x:row>
    <x:row r="462">
      <x:c r="A462" t="str">
        <x:v>r20</x:v>
      </x:c>
      <x:c r="B462" t="str">
        <x:v>Otro</x:v>
      </x:c>
      <x:c r="C462" t="n">
        <x:v>2</x:v>
      </x:c>
      <x:c r="D462" t="n">
        <x:v>2</x:v>
      </x:c>
      <x:c r="E462" t="n">
        <x:v>0</x:v>
      </x:c>
      <x:c r="F462" t="n">
        <x:v>0</x:v>
      </x:c>
      <x:c r="G462" s="10" t="n">
        <x:v>0</x:v>
      </x:c>
      <x:c r="H462" s="10" t="n">
        <x:v>0</x:v>
      </x:c>
      <x:c r="I462" t="n">
        <x:v>0</x:v>
      </x:c>
      <x:c r="J462" s="6" t="n">
        <x:v>0</x:v>
      </x:c>
    </x:row>
    <x:row r="463">
      <x:c r="A463" t="str">
        <x:v>215-60-r17-michelin-primacy-4-96h</x:v>
      </x:c>
      <x:c r="B463" t="str">
        <x:v>Producto / URL</x:v>
      </x:c>
      <x:c r="C463" t="n">
        <x:v>2</x:v>
      </x:c>
      <x:c r="D463" t="n">
        <x:v>2</x:v>
      </x:c>
      <x:c r="E463" t="n">
        <x:v>0</x:v>
      </x:c>
      <x:c r="F463" t="n">
        <x:v>0</x:v>
      </x:c>
      <x:c r="G463" s="10" t="n">
        <x:v>0</x:v>
      </x:c>
      <x:c r="H463" s="10" t="n">
        <x:v>0</x:v>
      </x:c>
      <x:c r="I463" t="n">
        <x:v>0</x:v>
      </x:c>
      <x:c r="J463" s="6" t="n">
        <x:v>0</x:v>
      </x:c>
    </x:row>
    <x:row r="464">
      <x:c r="A464" t="str">
        <x:v>es32</x:v>
      </x:c>
      <x:c r="B464" t="str">
        <x:v>Otro</x:v>
      </x:c>
      <x:c r="C464" t="n">
        <x:v>2</x:v>
      </x:c>
      <x:c r="D464" t="n">
        <x:v>2</x:v>
      </x:c>
      <x:c r="E464" t="n">
        <x:v>1</x:v>
      </x:c>
      <x:c r="F464" t="n">
        <x:v>1</x:v>
      </x:c>
      <x:c r="G464" s="10" t="n">
        <x:v>0.5</x:v>
      </x:c>
      <x:c r="H464" s="10" t="n">
        <x:v>0</x:v>
      </x:c>
      <x:c r="I464" t="n">
        <x:v>0</x:v>
      </x:c>
      <x:c r="J464" s="6" t="n">
        <x:v>0</x:v>
      </x:c>
    </x:row>
    <x:row r="465">
      <x:c r="A465" t="str">
        <x:v>k03</x:v>
      </x:c>
      <x:c r="B465" t="str">
        <x:v>Otro</x:v>
      </x:c>
      <x:c r="C465" t="n">
        <x:v>2</x:v>
      </x:c>
      <x:c r="D465" t="n">
        <x:v>1</x:v>
      </x:c>
      <x:c r="E465" t="n">
        <x:v>0</x:v>
      </x:c>
      <x:c r="F465" t="n">
        <x:v>0</x:v>
      </x:c>
      <x:c r="G465" s="10" t="n">
        <x:v>0</x:v>
      </x:c>
      <x:c r="H465" s="10" t="n">
        <x:v>0</x:v>
      </x:c>
      <x:c r="I465" t="n">
        <x:v>0</x:v>
      </x:c>
      <x:c r="J465" s="6" t="n">
        <x:v>0</x:v>
      </x:c>
    </x:row>
    <x:row r="466">
      <x:c r="A466" t="str">
        <x:v>michelin 185</x:v>
      </x:c>
      <x:c r="B466" t="str">
        <x:v>Otro</x:v>
      </x:c>
      <x:c r="C466" t="n">
        <x:v>2</x:v>
      </x:c>
      <x:c r="D466" t="n">
        <x:v>2</x:v>
      </x:c>
      <x:c r="E466" t="n">
        <x:v>0</x:v>
      </x:c>
      <x:c r="F466" t="n">
        <x:v>0</x:v>
      </x:c>
      <x:c r="G466" s="10" t="n">
        <x:v>0</x:v>
      </x:c>
      <x:c r="H466" s="10" t="n">
        <x:v>0</x:v>
      </x:c>
      <x:c r="I466" t="n">
        <x:v>0</x:v>
      </x:c>
      <x:c r="J466" s="6" t="n">
        <x:v>0</x:v>
      </x:c>
    </x:row>
    <x:row r="467">
      <x:c r="A467" t="str">
        <x:v>¿mr-166</x:v>
      </x:c>
      <x:c r="B467" t="str">
        <x:v>Otro</x:v>
      </x:c>
      <x:c r="C467" t="n">
        <x:v>2</x:v>
      </x:c>
      <x:c r="D467" t="n">
        <x:v>1</x:v>
      </x:c>
      <x:c r="E467" t="n">
        <x:v>0</x:v>
      </x:c>
      <x:c r="F467" t="n">
        <x:v>0</x:v>
      </x:c>
      <x:c r="G467" s="10" t="n">
        <x:v>0</x:v>
      </x:c>
      <x:c r="H467" s="10" t="n">
        <x:v>0</x:v>
      </x:c>
      <x:c r="I467" t="n">
        <x:v>0</x:v>
      </x:c>
      <x:c r="J467" s="6" t="n">
        <x:v>0</x:v>
      </x:c>
    </x:row>
    <x:row r="468">
      <x:c r="A468" t="str">
        <x:v>225 55</x:v>
      </x:c>
      <x:c r="B468" t="str">
        <x:v>Otro</x:v>
      </x:c>
      <x:c r="C468" t="n">
        <x:v>2</x:v>
      </x:c>
      <x:c r="D468" t="n">
        <x:v>2</x:v>
      </x:c>
      <x:c r="E468" t="n">
        <x:v>0</x:v>
      </x:c>
      <x:c r="F468" t="n">
        <x:v>0</x:v>
      </x:c>
      <x:c r="G468" s="10" t="n">
        <x:v>0</x:v>
      </x:c>
      <x:c r="H468" s="10" t="n">
        <x:v>0</x:v>
      </x:c>
      <x:c r="I468" t="n">
        <x:v>0</x:v>
      </x:c>
      <x:c r="J468" s="6" t="n">
        <x:v>0</x:v>
      </x:c>
    </x:row>
    <x:row r="469">
      <x:c r="A469" t="str">
        <x:v>185 651 14</x:v>
      </x:c>
      <x:c r="B469" t="str">
        <x:v>Otro</x:v>
      </x:c>
      <x:c r="C469" t="n">
        <x:v>2</x:v>
      </x:c>
      <x:c r="D469" t="n">
        <x:v>1</x:v>
      </x:c>
      <x:c r="E469" t="n">
        <x:v>0</x:v>
      </x:c>
      <x:c r="F469" t="n">
        <x:v>0</x:v>
      </x:c>
      <x:c r="G469" s="10" t="n">
        <x:v>0</x:v>
      </x:c>
      <x:c r="H469" s="10" t="n">
        <x:v>0</x:v>
      </x:c>
      <x:c r="I469" t="n">
        <x:v>0</x:v>
      </x:c>
      <x:c r="J469" s="6" t="n">
        <x:v>0</x:v>
      </x:c>
    </x:row>
    <x:row r="470">
      <x:c r="A470" t="str">
        <x:v>165-70-r14-81t-mirage-mr-162-1</x:v>
      </x:c>
      <x:c r="B470" t="str">
        <x:v>Producto / URL</x:v>
      </x:c>
      <x:c r="C470" t="n">
        <x:v>2</x:v>
      </x:c>
      <x:c r="D470" t="n">
        <x:v>2</x:v>
      </x:c>
      <x:c r="E470" t="n">
        <x:v>0</x:v>
      </x:c>
      <x:c r="F470" t="n">
        <x:v>0</x:v>
      </x:c>
      <x:c r="G470" s="10" t="n">
        <x:v>0</x:v>
      </x:c>
      <x:c r="H470" s="10" t="n">
        <x:v>0</x:v>
      </x:c>
      <x:c r="I470" t="n">
        <x:v>0</x:v>
      </x:c>
      <x:c r="J470" s="6" t="n">
        <x:v>0</x:v>
      </x:c>
    </x:row>
    <x:row r="471">
      <x:c r="A471" t="str">
        <x:v>arme y desarme</x:v>
      </x:c>
      <x:c r="B471" t="str">
        <x:v>Otro</x:v>
      </x:c>
      <x:c r="C471" t="n">
        <x:v>2</x:v>
      </x:c>
      <x:c r="D471" t="n">
        <x:v>2</x:v>
      </x:c>
      <x:c r="E471" t="n">
        <x:v>0</x:v>
      </x:c>
      <x:c r="F471" t="n">
        <x:v>0</x:v>
      </x:c>
      <x:c r="G471" s="10" t="n">
        <x:v>0</x:v>
      </x:c>
      <x:c r="H471" s="10" t="n">
        <x:v>0</x:v>
      </x:c>
      <x:c r="I471" t="n">
        <x:v>0</x:v>
      </x:c>
      <x:c r="J471" s="6" t="n">
        <x:v>0</x:v>
      </x:c>
    </x:row>
    <x:row r="472">
      <x:c r="A472" t="str">
        <x:v>195 45 17</x:v>
      </x:c>
      <x:c r="B472" t="str">
        <x:v>Medida</x:v>
      </x:c>
      <x:c r="C472" t="n">
        <x:v>2</x:v>
      </x:c>
      <x:c r="D472" t="n">
        <x:v>2</x:v>
      </x:c>
      <x:c r="E472" t="n">
        <x:v>0</x:v>
      </x:c>
      <x:c r="F472" t="n">
        <x:v>0</x:v>
      </x:c>
      <x:c r="G472" s="10" t="n">
        <x:v>0</x:v>
      </x:c>
      <x:c r="H472" s="10" t="n">
        <x:v>0</x:v>
      </x:c>
      <x:c r="I472" t="n">
        <x:v>0</x:v>
      </x:c>
      <x:c r="J472" s="6" t="n">
        <x:v>0</x:v>
      </x:c>
    </x:row>
    <x:row r="473">
      <x:c r="A473" t="str">
        <x:v>10.90.18</x:v>
      </x:c>
      <x:c r="B473" t="str">
        <x:v>Otro</x:v>
      </x:c>
      <x:c r="C473" t="n">
        <x:v>2</x:v>
      </x:c>
      <x:c r="D473" t="n">
        <x:v>2</x:v>
      </x:c>
      <x:c r="E473" t="n">
        <x:v>0</x:v>
      </x:c>
      <x:c r="F473" t="n">
        <x:v>0</x:v>
      </x:c>
      <x:c r="G473" s="10" t="n">
        <x:v>0</x:v>
      </x:c>
      <x:c r="H473" s="10" t="n">
        <x:v>0</x:v>
      </x:c>
      <x:c r="I473" t="n">
        <x:v>0</x:v>
      </x:c>
      <x:c r="J473" s="6" t="n">
        <x:v>0</x:v>
      </x:c>
    </x:row>
    <x:row r="474">
      <x:c r="A474" t="str">
        <x:v>255 65 17</x:v>
      </x:c>
      <x:c r="B474" t="str">
        <x:v>Medida</x:v>
      </x:c>
      <x:c r="C474" t="n">
        <x:v>2</x:v>
      </x:c>
      <x:c r="D474" t="n">
        <x:v>1</x:v>
      </x:c>
      <x:c r="E474" t="n">
        <x:v>0</x:v>
      </x:c>
      <x:c r="F474" t="n">
        <x:v>0</x:v>
      </x:c>
      <x:c r="G474" s="10" t="n">
        <x:v>0</x:v>
      </x:c>
      <x:c r="H474" s="10" t="n">
        <x:v>0</x:v>
      </x:c>
      <x:c r="I474" t="n">
        <x:v>0</x:v>
      </x:c>
      <x:c r="J474" s="6" t="n">
        <x:v>0</x:v>
      </x:c>
    </x:row>
    <x:row r="475">
      <x:c r="A475" t="str">
        <x:v>energy xm2</x:v>
      </x:c>
      <x:c r="B475" t="str">
        <x:v>Otro</x:v>
      </x:c>
      <x:c r="C475" t="n">
        <x:v>2</x:v>
      </x:c>
      <x:c r="D475" t="n">
        <x:v>2</x:v>
      </x:c>
      <x:c r="E475" t="n">
        <x:v>1</x:v>
      </x:c>
      <x:c r="F475" t="n">
        <x:v>1</x:v>
      </x:c>
      <x:c r="G475" s="10" t="n">
        <x:v>0.5</x:v>
      </x:c>
      <x:c r="H475" s="10" t="n">
        <x:v>0</x:v>
      </x:c>
      <x:c r="I475" t="n">
        <x:v>0</x:v>
      </x:c>
      <x:c r="J475" s="6" t="n">
        <x:v>0</x:v>
      </x:c>
    </x:row>
    <x:row r="476">
      <x:c r="A476" t="str">
        <x:v>235-70-r16-michelin-ltx-force-106t</x:v>
      </x:c>
      <x:c r="B476" t="str">
        <x:v>Producto / URL</x:v>
      </x:c>
      <x:c r="C476" t="n">
        <x:v>2</x:v>
      </x:c>
      <x:c r="D476" t="n">
        <x:v>2</x:v>
      </x:c>
      <x:c r="E476" t="n">
        <x:v>0</x:v>
      </x:c>
      <x:c r="F476" t="n">
        <x:v>0</x:v>
      </x:c>
      <x:c r="G476" s="10" t="n">
        <x:v>0</x:v>
      </x:c>
      <x:c r="H476" s="10" t="n">
        <x:v>0</x:v>
      </x:c>
      <x:c r="I476" t="n">
        <x:v>0</x:v>
      </x:c>
      <x:c r="J476" s="6" t="n">
        <x:v>0</x:v>
      </x:c>
    </x:row>
    <x:row r="477">
      <x:c r="A477" t="str">
        <x:v>235-45-r19-michelin-ltx-trail-st-99-h-1</x:v>
      </x:c>
      <x:c r="B477" t="str">
        <x:v>Producto / URL</x:v>
      </x:c>
      <x:c r="C477" t="n">
        <x:v>2</x:v>
      </x:c>
      <x:c r="D477" t="n">
        <x:v>2</x:v>
      </x:c>
      <x:c r="E477" t="n">
        <x:v>0</x:v>
      </x:c>
      <x:c r="F477" t="n">
        <x:v>0</x:v>
      </x:c>
      <x:c r="G477" s="10" t="n">
        <x:v>0</x:v>
      </x:c>
      <x:c r="H477" s="10" t="n">
        <x:v>0</x:v>
      </x:c>
      <x:c r="I477" t="n">
        <x:v>0</x:v>
      </x:c>
      <x:c r="J477" s="6" t="n">
        <x:v>0</x:v>
      </x:c>
    </x:row>
    <x:row r="478">
      <x:c r="A478" t="str">
        <x:v>17 245</x:v>
      </x:c>
      <x:c r="B478" t="str">
        <x:v>Otro</x:v>
      </x:c>
      <x:c r="C478" t="n">
        <x:v>2</x:v>
      </x:c>
      <x:c r="D478" t="n">
        <x:v>2</x:v>
      </x:c>
      <x:c r="E478" t="n">
        <x:v>0</x:v>
      </x:c>
      <x:c r="F478" t="n">
        <x:v>0</x:v>
      </x:c>
      <x:c r="G478" s="10" t="n">
        <x:v>0</x:v>
      </x:c>
      <x:c r="H478" s="10" t="n">
        <x:v>0</x:v>
      </x:c>
      <x:c r="I478" t="n">
        <x:v>0</x:v>
      </x:c>
      <x:c r="J478" s="6" t="n">
        <x:v>0</x:v>
      </x:c>
    </x:row>
    <x:row r="479">
      <x:c r="A479" t="str">
        <x:v>p1 r15</x:v>
      </x:c>
      <x:c r="B479" t="str">
        <x:v>Otro</x:v>
      </x:c>
      <x:c r="C479" t="n">
        <x:v>2</x:v>
      </x:c>
      <x:c r="D479" t="n">
        <x:v>2</x:v>
      </x:c>
      <x:c r="E479" t="n">
        <x:v>0</x:v>
      </x:c>
      <x:c r="F479" t="n">
        <x:v>0</x:v>
      </x:c>
      <x:c r="G479" s="10" t="n">
        <x:v>0</x:v>
      </x:c>
      <x:c r="H479" s="10" t="n">
        <x:v>0</x:v>
      </x:c>
      <x:c r="I479" t="n">
        <x:v>0</x:v>
      </x:c>
      <x:c r="J479" s="6" t="n">
        <x:v>0</x:v>
      </x:c>
    </x:row>
    <x:row r="480">
      <x:c r="A480" t="str">
        <x:v>195 55 16</x:v>
      </x:c>
      <x:c r="B480" t="str">
        <x:v>Medida</x:v>
      </x:c>
      <x:c r="C480" t="n">
        <x:v>2</x:v>
      </x:c>
      <x:c r="D480" t="n">
        <x:v>2</x:v>
      </x:c>
      <x:c r="E480" t="n">
        <x:v>1</x:v>
      </x:c>
      <x:c r="F480" t="n">
        <x:v>1</x:v>
      </x:c>
      <x:c r="G480" s="10" t="n">
        <x:v>0.5</x:v>
      </x:c>
      <x:c r="H480" s="10" t="n">
        <x:v>0</x:v>
      </x:c>
      <x:c r="I480" t="n">
        <x:v>0</x:v>
      </x:c>
      <x:c r="J480" s="6" t="n">
        <x:v>0</x:v>
      </x:c>
    </x:row>
    <x:row r="481">
      <x:c r="A481" t="str">
        <x:v>hd</x:v>
      </x:c>
      <x:c r="B481" t="str">
        <x:v>Otro</x:v>
      </x:c>
      <x:c r="C481" t="n">
        <x:v>2</x:v>
      </x:c>
      <x:c r="D481" t="n">
        <x:v>2</x:v>
      </x:c>
      <x:c r="E481" t="n">
        <x:v>0</x:v>
      </x:c>
      <x:c r="F481" t="n">
        <x:v>0</x:v>
      </x:c>
      <x:c r="G481" s="10" t="n">
        <x:v>0</x:v>
      </x:c>
      <x:c r="H481" s="10" t="n">
        <x:v>0</x:v>
      </x:c>
      <x:c r="I481" t="n">
        <x:v>0</x:v>
      </x:c>
      <x:c r="J481" s="6" t="n">
        <x:v>0</x:v>
      </x:c>
    </x:row>
    <x:row r="482">
      <x:c r="A482" t="str">
        <x:v>245 40 18</x:v>
      </x:c>
      <x:c r="B482" t="str">
        <x:v>Medida</x:v>
      </x:c>
      <x:c r="C482" t="n">
        <x:v>2</x:v>
      </x:c>
      <x:c r="D482" t="n">
        <x:v>2</x:v>
      </x:c>
      <x:c r="E482" t="n">
        <x:v>3</x:v>
      </x:c>
      <x:c r="F482" t="n">
        <x:v>2</x:v>
      </x:c>
      <x:c r="G482" s="10" t="n">
        <x:v>1.5</x:v>
      </x:c>
      <x:c r="H482" s="10" t="n">
        <x:v>0</x:v>
      </x:c>
      <x:c r="I482" t="n">
        <x:v>0</x:v>
      </x:c>
      <x:c r="J482" s="6" t="n">
        <x:v>0</x:v>
      </x:c>
    </x:row>
    <x:row r="483">
      <x:c r="A483" t="str">
        <x:v>12410NXC</x:v>
      </x:c>
      <x:c r="B483" t="str">
        <x:v>Otro</x:v>
      </x:c>
      <x:c r="C483" t="n">
        <x:v>2</x:v>
      </x:c>
      <x:c r="D483" t="n">
        <x:v>2</x:v>
      </x:c>
      <x:c r="E483" t="n">
        <x:v>3</x:v>
      </x:c>
      <x:c r="F483" t="n">
        <x:v>1</x:v>
      </x:c>
      <x:c r="G483" s="10" t="n">
        <x:v>1.5</x:v>
      </x:c>
      <x:c r="H483" s="10" t="n">
        <x:v>0</x:v>
      </x:c>
      <x:c r="I483" t="n">
        <x:v>0</x:v>
      </x:c>
      <x:c r="J483" s="6" t="n">
        <x:v>0</x:v>
      </x:c>
    </x:row>
    <x:row r="484">
      <x:c r="A484" t="str">
        <x:v>215 65 r17</x:v>
      </x:c>
      <x:c r="B484" t="str">
        <x:v>Medida</x:v>
      </x:c>
      <x:c r="C484" t="n">
        <x:v>2</x:v>
      </x:c>
      <x:c r="D484" t="n">
        <x:v>1</x:v>
      </x:c>
      <x:c r="E484" t="n">
        <x:v>1</x:v>
      </x:c>
      <x:c r="F484" t="n">
        <x:v>1</x:v>
      </x:c>
      <x:c r="G484" s="10" t="n">
        <x:v>0.5</x:v>
      </x:c>
      <x:c r="H484" s="10" t="n">
        <x:v>0</x:v>
      </x:c>
      <x:c r="I484" t="n">
        <x:v>0</x:v>
      </x:c>
      <x:c r="J484" s="6" t="n">
        <x:v>0</x:v>
      </x:c>
    </x:row>
    <x:row r="485">
      <x:c r="A485" t="str">
        <x:v>infla</x:v>
      </x:c>
      <x:c r="B485" t="str">
        <x:v>Otro</x:v>
      </x:c>
      <x:c r="C485" t="n">
        <x:v>2</x:v>
      </x:c>
      <x:c r="D485" t="n">
        <x:v>2</x:v>
      </x:c>
      <x:c r="E485" t="n">
        <x:v>1</x:v>
      </x:c>
      <x:c r="F485" t="n">
        <x:v>1</x:v>
      </x:c>
      <x:c r="G485" s="10" t="n">
        <x:v>0.5</x:v>
      </x:c>
      <x:c r="H485" s="10" t="n">
        <x:v>0</x:v>
      </x:c>
      <x:c r="I485" t="n">
        <x:v>0</x:v>
      </x:c>
      <x:c r="J485" s="6" t="n">
        <x:v>0</x:v>
      </x:c>
    </x:row>
    <x:row r="486">
      <x:c r="A486" t="str">
        <x:v>giti</x:v>
      </x:c>
      <x:c r="B486" t="str">
        <x:v>Otro</x:v>
      </x:c>
      <x:c r="C486" t="n">
        <x:v>2</x:v>
      </x:c>
      <x:c r="D486" t="n">
        <x:v>1</x:v>
      </x:c>
      <x:c r="E486" t="n">
        <x:v>0</x:v>
      </x:c>
      <x:c r="F486" t="n">
        <x:v>0</x:v>
      </x:c>
      <x:c r="G486" s="10" t="n">
        <x:v>0</x:v>
      </x:c>
      <x:c r="H486" s="10" t="n">
        <x:v>0</x:v>
      </x:c>
      <x:c r="I486" t="n">
        <x:v>0</x:v>
      </x:c>
      <x:c r="J486" s="6" t="n">
        <x:v>0</x:v>
      </x:c>
    </x:row>
    <x:row r="487">
      <x:c r="A487" t="str">
        <x:v>155 55 15</x:v>
      </x:c>
      <x:c r="B487" t="str">
        <x:v>Medida</x:v>
      </x:c>
      <x:c r="C487" t="n">
        <x:v>2</x:v>
      </x:c>
      <x:c r="D487" t="n">
        <x:v>2</x:v>
      </x:c>
      <x:c r="E487" t="n">
        <x:v>0</x:v>
      </x:c>
      <x:c r="F487" t="n">
        <x:v>0</x:v>
      </x:c>
      <x:c r="G487" s="10" t="n">
        <x:v>0</x:v>
      </x:c>
      <x:c r="H487" s="10" t="n">
        <x:v>0</x:v>
      </x:c>
      <x:c r="I487" t="n">
        <x:v>0</x:v>
      </x:c>
      <x:c r="J487" s="6" t="n">
        <x:v>0</x:v>
      </x:c>
    </x:row>
    <x:row r="488">
      <x:c r="A488" t="str">
        <x:v>245-40-r18-michelin-primacy-3-moe-zp-97y</x:v>
      </x:c>
      <x:c r="B488" t="str">
        <x:v>Producto / URL</x:v>
      </x:c>
      <x:c r="C488" t="n">
        <x:v>2</x:v>
      </x:c>
      <x:c r="D488" t="n">
        <x:v>2</x:v>
      </x:c>
      <x:c r="E488" t="n">
        <x:v>0</x:v>
      </x:c>
      <x:c r="F488" t="n">
        <x:v>0</x:v>
      </x:c>
      <x:c r="G488" s="10" t="n">
        <x:v>0</x:v>
      </x:c>
      <x:c r="H488" s="10" t="n">
        <x:v>0</x:v>
      </x:c>
      <x:c r="I488" t="n">
        <x:v>0</x:v>
      </x:c>
      <x:c r="J488" s="6" t="n">
        <x:v>0</x:v>
      </x:c>
    </x:row>
    <x:row r="489">
      <x:c r="A489" t="str">
        <x:v>sellador</x:v>
      </x:c>
      <x:c r="B489" t="str">
        <x:v>Otro</x:v>
      </x:c>
      <x:c r="C489" t="n">
        <x:v>2</x:v>
      </x:c>
      <x:c r="D489" t="n">
        <x:v>2</x:v>
      </x:c>
      <x:c r="E489" t="n">
        <x:v>0</x:v>
      </x:c>
      <x:c r="F489" t="n">
        <x:v>0</x:v>
      </x:c>
      <x:c r="G489" s="10" t="n">
        <x:v>0</x:v>
      </x:c>
      <x:c r="H489" s="10" t="n">
        <x:v>0</x:v>
      </x:c>
      <x:c r="I489" t="n">
        <x:v>0</x:v>
      </x:c>
      <x:c r="J489" s="6" t="n">
        <x:v>0</x:v>
      </x:c>
    </x:row>
    <x:row r="490">
      <x:c r="A490" t="str">
        <x:v>michelin 245 35 zr19</x:v>
      </x:c>
      <x:c r="B490" t="str">
        <x:v>Otro</x:v>
      </x:c>
      <x:c r="C490" t="n">
        <x:v>2</x:v>
      </x:c>
      <x:c r="D490" t="n">
        <x:v>2</x:v>
      </x:c>
      <x:c r="E490" t="n">
        <x:v>0</x:v>
      </x:c>
      <x:c r="F490" t="n">
        <x:v>0</x:v>
      </x:c>
      <x:c r="G490" s="10" t="n">
        <x:v>0</x:v>
      </x:c>
      <x:c r="H490" s="10" t="n">
        <x:v>0</x:v>
      </x:c>
      <x:c r="I490" t="n">
        <x:v>0</x:v>
      </x:c>
      <x:c r="J490" s="6" t="n">
        <x:v>0</x:v>
      </x:c>
    </x:row>
    <x:row r="491">
      <x:c r="A491" t="str">
        <x:v>225-50-17</x:v>
      </x:c>
      <x:c r="B491" t="str">
        <x:v>Medida</x:v>
      </x:c>
      <x:c r="C491" t="n">
        <x:v>2</x:v>
      </x:c>
      <x:c r="D491" t="n">
        <x:v>2</x:v>
      </x:c>
      <x:c r="E491" t="n">
        <x:v>0</x:v>
      </x:c>
      <x:c r="F491" t="n">
        <x:v>0</x:v>
      </x:c>
      <x:c r="G491" s="10" t="n">
        <x:v>0</x:v>
      </x:c>
      <x:c r="H491" s="10" t="n">
        <x:v>0</x:v>
      </x:c>
      <x:c r="I491" t="n">
        <x:v>0</x:v>
      </x:c>
      <x:c r="J491" s="6" t="n">
        <x:v>0</x:v>
      </x:c>
    </x:row>
    <x:row r="492">
      <x:c r="A492" t="str">
        <x:v>ae51</x:v>
      </x:c>
      <x:c r="B492" t="str">
        <x:v>Otro</x:v>
      </x:c>
      <x:c r="C492" t="n">
        <x:v>2</x:v>
      </x:c>
      <x:c r="D492" t="n">
        <x:v>2</x:v>
      </x:c>
      <x:c r="E492" t="n">
        <x:v>1</x:v>
      </x:c>
      <x:c r="F492" t="n">
        <x:v>1</x:v>
      </x:c>
      <x:c r="G492" s="10" t="n">
        <x:v>0.5</x:v>
      </x:c>
      <x:c r="H492" s="10" t="n">
        <x:v>0</x:v>
      </x:c>
      <x:c r="I492" t="n">
        <x:v>0</x:v>
      </x:c>
      <x:c r="J492" s="6" t="n">
        <x:v>0</x:v>
      </x:c>
    </x:row>
    <x:row r="493">
      <x:c r="A493" t="str">
        <x:v>michelon xtrail</x:v>
      </x:c>
      <x:c r="B493" t="str">
        <x:v>Otro</x:v>
      </x:c>
      <x:c r="C493" t="n">
        <x:v>2</x:v>
      </x:c>
      <x:c r="D493" t="n">
        <x:v>2</x:v>
      </x:c>
      <x:c r="E493" t="n">
        <x:v>9</x:v>
      </x:c>
      <x:c r="F493" t="n">
        <x:v>1</x:v>
      </x:c>
      <x:c r="G493" s="10" t="n">
        <x:v>4.5</x:v>
      </x:c>
      <x:c r="H493" s="10" t="n">
        <x:v>0</x:v>
      </x:c>
      <x:c r="I493" t="n">
        <x:v>0</x:v>
      </x:c>
      <x:c r="J493" s="6" t="n">
        <x:v>0</x:v>
      </x:c>
    </x:row>
    <x:row r="494">
      <x:c r="A494" t="str">
        <x:v>235 85 16</x:v>
      </x:c>
      <x:c r="B494" t="str">
        <x:v>Medida</x:v>
      </x:c>
      <x:c r="C494" t="n">
        <x:v>2</x:v>
      </x:c>
      <x:c r="D494" t="n">
        <x:v>2</x:v>
      </x:c>
      <x:c r="E494" t="n">
        <x:v>0</x:v>
      </x:c>
      <x:c r="F494" t="n">
        <x:v>0</x:v>
      </x:c>
      <x:c r="G494" s="10" t="n">
        <x:v>0</x:v>
      </x:c>
      <x:c r="H494" s="10" t="n">
        <x:v>0</x:v>
      </x:c>
      <x:c r="I494" t="n">
        <x:v>0</x:v>
      </x:c>
      <x:c r="J494" s="6" t="n">
        <x:v>0</x:v>
      </x:c>
    </x:row>
    <x:row r="495">
      <x:c r="A495" t="str">
        <x:v>primacy 43</x:v>
      </x:c>
      <x:c r="B495" t="str">
        <x:v>Otro</x:v>
      </x:c>
      <x:c r="C495" t="n">
        <x:v>2</x:v>
      </x:c>
      <x:c r="D495" t="n">
        <x:v>2</x:v>
      </x:c>
      <x:c r="E495" t="n">
        <x:v>0</x:v>
      </x:c>
      <x:c r="F495" t="n">
        <x:v>0</x:v>
      </x:c>
      <x:c r="G495" s="10" t="n">
        <x:v>0</x:v>
      </x:c>
      <x:c r="H495" s="10" t="n">
        <x:v>0</x:v>
      </x:c>
      <x:c r="I495" t="n">
        <x:v>0</x:v>
      </x:c>
      <x:c r="J495" s="6" t="n">
        <x:v>0</x:v>
      </x:c>
    </x:row>
    <x:row r="496">
      <x:c r="A496" t="str">
        <x:v>neumaticos pirelli 185 66 14</x:v>
      </x:c>
      <x:c r="B496" t="str">
        <x:v>Medida</x:v>
      </x:c>
      <x:c r="C496" t="n">
        <x:v>2</x:v>
      </x:c>
      <x:c r="D496" t="n">
        <x:v>1</x:v>
      </x:c>
      <x:c r="E496" t="n">
        <x:v>0</x:v>
      </x:c>
      <x:c r="F496" t="n">
        <x:v>0</x:v>
      </x:c>
      <x:c r="G496" s="10" t="n">
        <x:v>0</x:v>
      </x:c>
      <x:c r="H496" s="10" t="n">
        <x:v>0</x:v>
      </x:c>
      <x:c r="I496" t="n">
        <x:v>0</x:v>
      </x:c>
      <x:c r="J496" s="6" t="n">
        <x:v>0</x:v>
      </x:c>
    </x:row>
    <x:row r="497">
      <x:c r="A497" t="str">
        <x:v>205x70x16</x:v>
      </x:c>
      <x:c r="B497" t="str">
        <x:v>Otro</x:v>
      </x:c>
      <x:c r="C497" t="n">
        <x:v>2</x:v>
      </x:c>
      <x:c r="D497" t="n">
        <x:v>2</x:v>
      </x:c>
      <x:c r="E497" t="n">
        <x:v>0</x:v>
      </x:c>
      <x:c r="F497" t="n">
        <x:v>0</x:v>
      </x:c>
      <x:c r="G497" s="10" t="n">
        <x:v>0</x:v>
      </x:c>
      <x:c r="H497" s="10" t="n">
        <x:v>0</x:v>
      </x:c>
      <x:c r="I497" t="n">
        <x:v>0</x:v>
      </x:c>
      <x:c r="J497" s="6" t="n">
        <x:v>0</x:v>
      </x:c>
    </x:row>
    <x:row r="498">
      <x:c r="A498" t="str">
        <x:v>120-90</x:v>
      </x:c>
      <x:c r="B498" t="str">
        <x:v>Otro</x:v>
      </x:c>
      <x:c r="C498" t="n">
        <x:v>2</x:v>
      </x:c>
      <x:c r="D498" t="n">
        <x:v>2</x:v>
      </x:c>
      <x:c r="E498" t="n">
        <x:v>0</x:v>
      </x:c>
      <x:c r="F498" t="n">
        <x:v>0</x:v>
      </x:c>
      <x:c r="G498" s="10" t="n">
        <x:v>0</x:v>
      </x:c>
      <x:c r="H498" s="10" t="n">
        <x:v>0</x:v>
      </x:c>
      <x:c r="I498" t="n">
        <x:v>0</x:v>
      </x:c>
      <x:c r="J498" s="6" t="n">
        <x:v>0</x:v>
      </x:c>
    </x:row>
    <x:row r="499">
      <x:c r="A499" t="str">
        <x:v>r15</x:v>
      </x:c>
      <x:c r="B499" t="str">
        <x:v>Otro</x:v>
      </x:c>
      <x:c r="C499" t="n">
        <x:v>2</x:v>
      </x:c>
      <x:c r="D499" t="n">
        <x:v>2</x:v>
      </x:c>
      <x:c r="E499" t="n">
        <x:v>0</x:v>
      </x:c>
      <x:c r="F499" t="n">
        <x:v>0</x:v>
      </x:c>
      <x:c r="G499" s="10" t="n">
        <x:v>0</x:v>
      </x:c>
      <x:c r="H499" s="10" t="n">
        <x:v>0</x:v>
      </x:c>
      <x:c r="I499" t="n">
        <x:v>0</x:v>
      </x:c>
      <x:c r="J499" s="6" t="n">
        <x:v>0</x:v>
      </x:c>
    </x:row>
    <x:row r="500">
      <x:c r="A500" t="str">
        <x:v>gt</x:v>
      </x:c>
      <x:c r="B500" t="str">
        <x:v>Otro</x:v>
      </x:c>
      <x:c r="C500" t="n">
        <x:v>2</x:v>
      </x:c>
      <x:c r="D500" t="n">
        <x:v>2</x:v>
      </x:c>
      <x:c r="E500" t="n">
        <x:v>0</x:v>
      </x:c>
      <x:c r="F500" t="n">
        <x:v>0</x:v>
      </x:c>
      <x:c r="G500" s="10" t="n">
        <x:v>0</x:v>
      </x:c>
      <x:c r="H500" s="10" t="n">
        <x:v>0</x:v>
      </x:c>
      <x:c r="I500" t="n">
        <x:v>0</x:v>
      </x:c>
      <x:c r="J500" s="6" t="n">
        <x:v>0</x:v>
      </x:c>
    </x:row>
    <x:row r="501">
      <x:c r="A501" t="str">
        <x:v>15</x:v>
      </x:c>
      <x:c r="B501" t="str">
        <x:v>Otro</x:v>
      </x:c>
      <x:c r="C501" t="n">
        <x:v>2</x:v>
      </x:c>
      <x:c r="D501" t="n">
        <x:v>1</x:v>
      </x:c>
      <x:c r="E501" t="n">
        <x:v>2</x:v>
      </x:c>
      <x:c r="F501" t="n">
        <x:v>1</x:v>
      </x:c>
      <x:c r="G501" s="10" t="n">
        <x:v>1</x:v>
      </x:c>
      <x:c r="H501" s="10" t="n">
        <x:v>0</x:v>
      </x:c>
      <x:c r="I501" t="n">
        <x:v>0</x:v>
      </x:c>
      <x:c r="J501" s="6" t="n">
        <x:v>0</x:v>
      </x:c>
    </x:row>
    <x:row r="502">
      <x:c r="A502" t="str">
        <x:v>205 55 r 16</x:v>
      </x:c>
      <x:c r="B502" t="str">
        <x:v>Otro</x:v>
      </x:c>
      <x:c r="C502" t="n">
        <x:v>2</x:v>
      </x:c>
      <x:c r="D502" t="n">
        <x:v>1</x:v>
      </x:c>
      <x:c r="E502" t="n">
        <x:v>1</x:v>
      </x:c>
      <x:c r="F502" t="n">
        <x:v>1</x:v>
      </x:c>
      <x:c r="G502" s="10" t="n">
        <x:v>0.5</x:v>
      </x:c>
      <x:c r="H502" s="10" t="n">
        <x:v>0</x:v>
      </x:c>
      <x:c r="I502" t="n">
        <x:v>0</x:v>
      </x:c>
      <x:c r="J502" s="6" t="n">
        <x:v>0</x:v>
      </x:c>
    </x:row>
    <x:row r="503">
      <x:c r="A503" t="str">
        <x:v>npri</x:v>
      </x:c>
      <x:c r="B503" t="str">
        <x:v>Otro</x:v>
      </x:c>
      <x:c r="C503" t="n">
        <x:v>2</x:v>
      </x:c>
      <x:c r="D503" t="n">
        <x:v>2</x:v>
      </x:c>
      <x:c r="E503" t="n">
        <x:v>1</x:v>
      </x:c>
      <x:c r="F503" t="n">
        <x:v>1</x:v>
      </x:c>
      <x:c r="G503" s="10" t="n">
        <x:v>0.5</x:v>
      </x:c>
      <x:c r="H503" s="10" t="n">
        <x:v>0</x:v>
      </x:c>
      <x:c r="I503" t="n">
        <x:v>0</x:v>
      </x:c>
      <x:c r="J503" s="6" t="n">
        <x:v>0</x:v>
      </x:c>
    </x:row>
    <x:row r="504">
      <x:c r="A504" t="str">
        <x:v>165 70 r14</x:v>
      </x:c>
      <x:c r="B504" t="str">
        <x:v>Medida</x:v>
      </x:c>
      <x:c r="C504" t="n">
        <x:v>2</x:v>
      </x:c>
      <x:c r="D504" t="n">
        <x:v>2</x:v>
      </x:c>
      <x:c r="E504" t="n">
        <x:v>0</x:v>
      </x:c>
      <x:c r="F504" t="n">
        <x:v>0</x:v>
      </x:c>
      <x:c r="G504" s="10" t="n">
        <x:v>0</x:v>
      </x:c>
      <x:c r="H504" s="10" t="n">
        <x:v>0</x:v>
      </x:c>
      <x:c r="I504" t="n">
        <x:v>0</x:v>
      </x:c>
      <x:c r="J504" s="6" t="n">
        <x:v>0</x:v>
      </x:c>
    </x:row>
    <x:row r="505">
      <x:c r="A505" t="str">
        <x:v>215 60r17</x:v>
      </x:c>
      <x:c r="B505" t="str">
        <x:v>Otro</x:v>
      </x:c>
      <x:c r="C505" t="n">
        <x:v>2</x:v>
      </x:c>
      <x:c r="D505" t="n">
        <x:v>2</x:v>
      </x:c>
      <x:c r="E505" t="n">
        <x:v>0</x:v>
      </x:c>
      <x:c r="F505" t="n">
        <x:v>0</x:v>
      </x:c>
      <x:c r="G505" s="10" t="n">
        <x:v>0</x:v>
      </x:c>
      <x:c r="H505" s="10" t="n">
        <x:v>0</x:v>
      </x:c>
      <x:c r="I505" t="n">
        <x:v>0</x:v>
      </x:c>
      <x:c r="J505" s="6" t="n">
        <x:v>0</x:v>
      </x:c>
    </x:row>
    <x:row r="506">
      <x:c r="A506" t="str">
        <x:v>sailun</x:v>
      </x:c>
      <x:c r="B506" t="str">
        <x:v>Otro</x:v>
      </x:c>
      <x:c r="C506" t="n">
        <x:v>2</x:v>
      </x:c>
      <x:c r="D506" t="n">
        <x:v>1</x:v>
      </x:c>
      <x:c r="E506" t="n">
        <x:v>2</x:v>
      </x:c>
      <x:c r="F506" t="n">
        <x:v>1</x:v>
      </x:c>
      <x:c r="G506" s="10" t="n">
        <x:v>1</x:v>
      </x:c>
      <x:c r="H506" s="10" t="n">
        <x:v>0</x:v>
      </x:c>
      <x:c r="I506" t="n">
        <x:v>0</x:v>
      </x:c>
      <x:c r="J506" s="6" t="n">
        <x:v>0</x:v>
      </x:c>
    </x:row>
    <x:row r="507">
      <x:c r="A507" t="str">
        <x:v>285 70 16</x:v>
      </x:c>
      <x:c r="B507" t="str">
        <x:v>Medida</x:v>
      </x:c>
      <x:c r="C507" t="n">
        <x:v>2</x:v>
      </x:c>
      <x:c r="D507" t="n">
        <x:v>2</x:v>
      </x:c>
      <x:c r="E507" t="n">
        <x:v>0</x:v>
      </x:c>
      <x:c r="F507" t="n">
        <x:v>0</x:v>
      </x:c>
      <x:c r="G507" s="10" t="n">
        <x:v>0</x:v>
      </x:c>
      <x:c r="H507" s="10" t="n">
        <x:v>0</x:v>
      </x:c>
      <x:c r="I507" t="n">
        <x:v>0</x:v>
      </x:c>
      <x:c r="J507" s="6" t="n">
        <x:v>0</x:v>
      </x:c>
    </x:row>
    <x:row r="508">
      <x:c r="A508" t="str">
        <x:v>cubierta 235</x:v>
      </x:c>
      <x:c r="B508" t="str">
        <x:v>Otro</x:v>
      </x:c>
      <x:c r="C508" t="n">
        <x:v>2</x:v>
      </x:c>
      <x:c r="D508" t="n">
        <x:v>1</x:v>
      </x:c>
      <x:c r="E508" t="n">
        <x:v>0</x:v>
      </x:c>
      <x:c r="F508" t="n">
        <x:v>0</x:v>
      </x:c>
      <x:c r="G508" s="10" t="n">
        <x:v>0</x:v>
      </x:c>
      <x:c r="H508" s="10" t="n">
        <x:v>0</x:v>
      </x:c>
      <x:c r="I508" t="n">
        <x:v>0</x:v>
      </x:c>
      <x:c r="J508" s="6" t="n">
        <x:v>0</x:v>
      </x:c>
    </x:row>
    <x:row r="509">
      <x:c r="A509" t="str">
        <x:v>243</x:v>
      </x:c>
      <x:c r="B509" t="str">
        <x:v>Otro</x:v>
      </x:c>
      <x:c r="C509" t="n">
        <x:v>2</x:v>
      </x:c>
      <x:c r="D509" t="n">
        <x:v>2</x:v>
      </x:c>
      <x:c r="E509" t="n">
        <x:v>0</x:v>
      </x:c>
      <x:c r="F509" t="n">
        <x:v>0</x:v>
      </x:c>
      <x:c r="G509" s="10" t="n">
        <x:v>0</x:v>
      </x:c>
      <x:c r="H509" s="10" t="n">
        <x:v>0</x:v>
      </x:c>
      <x:c r="I509" t="n">
        <x:v>0</x:v>
      </x:c>
      <x:c r="J509" s="6" t="n">
        <x:v>0</x:v>
      </x:c>
    </x:row>
    <x:row r="510">
      <x:c r="A510" t="str">
        <x:v>pilot street 2</x:v>
      </x:c>
      <x:c r="B510" t="str">
        <x:v>Otro</x:v>
      </x:c>
      <x:c r="C510" t="n">
        <x:v>2</x:v>
      </x:c>
      <x:c r="D510" t="n">
        <x:v>2</x:v>
      </x:c>
      <x:c r="E510" t="n">
        <x:v>1</x:v>
      </x:c>
      <x:c r="F510" t="n">
        <x:v>1</x:v>
      </x:c>
      <x:c r="G510" s="10" t="n">
        <x:v>0.5</x:v>
      </x:c>
      <x:c r="H510" s="10" t="n">
        <x:v>0</x:v>
      </x:c>
      <x:c r="I510" t="n">
        <x:v>0</x:v>
      </x:c>
      <x:c r="J510" s="6" t="n">
        <x:v>0</x:v>
      </x:c>
    </x:row>
    <x:row r="511">
      <x:c r="A511" t="str">
        <x:v>175-65-r14c-mirage-mr-200-90-88t-1</x:v>
      </x:c>
      <x:c r="B511" t="str">
        <x:v>Medida</x:v>
      </x:c>
      <x:c r="C511" t="n">
        <x:v>2</x:v>
      </x:c>
      <x:c r="D511" t="n">
        <x:v>2</x:v>
      </x:c>
      <x:c r="E511" t="n">
        <x:v>0</x:v>
      </x:c>
      <x:c r="F511" t="n">
        <x:v>0</x:v>
      </x:c>
      <x:c r="G511" s="10" t="n">
        <x:v>0</x:v>
      </x:c>
      <x:c r="H511" s="10" t="n">
        <x:v>0</x:v>
      </x:c>
      <x:c r="I511" t="n">
        <x:v>0</x:v>
      </x:c>
      <x:c r="J511" s="6" t="n">
        <x:v>0</x:v>
      </x:c>
    </x:row>
    <x:row r="512">
      <x:c r="A512" t="str">
        <x:v>205x55 r17</x:v>
      </x:c>
      <x:c r="B512" t="str">
        <x:v>Otro</x:v>
      </x:c>
      <x:c r="C512" t="n">
        <x:v>2</x:v>
      </x:c>
      <x:c r="D512" t="n">
        <x:v>2</x:v>
      </x:c>
      <x:c r="E512" t="n">
        <x:v>0</x:v>
      </x:c>
      <x:c r="F512" t="n">
        <x:v>0</x:v>
      </x:c>
      <x:c r="G512" s="10" t="n">
        <x:v>0</x:v>
      </x:c>
      <x:c r="H512" s="10" t="n">
        <x:v>0</x:v>
      </x:c>
      <x:c r="I512" t="n">
        <x:v>0</x:v>
      </x:c>
      <x:c r="J512" s="6" t="n">
        <x:v>0</x:v>
      </x:c>
    </x:row>
    <x:row r="513">
      <x:c r="A513" t="str">
        <x:v>R2432</x:v>
      </x:c>
      <x:c r="B513" t="str">
        <x:v>Otro</x:v>
      </x:c>
      <x:c r="C513" t="n">
        <x:v>2</x:v>
      </x:c>
      <x:c r="D513" t="n">
        <x:v>2</x:v>
      </x:c>
      <x:c r="E513" t="n">
        <x:v>0</x:v>
      </x:c>
      <x:c r="F513" t="n">
        <x:v>0</x:v>
      </x:c>
      <x:c r="G513" s="10" t="n">
        <x:v>0</x:v>
      </x:c>
      <x:c r="H513" s="10" t="n">
        <x:v>0</x:v>
      </x:c>
      <x:c r="I513" t="n">
        <x:v>0</x:v>
      </x:c>
      <x:c r="J513" s="6" t="n">
        <x:v>0</x:v>
      </x:c>
    </x:row>
    <x:row r="514">
      <x:c r="A514" t="str">
        <x:v>R6104</x:v>
      </x:c>
      <x:c r="B514" t="str">
        <x:v>Otro</x:v>
      </x:c>
      <x:c r="C514" t="n">
        <x:v>2</x:v>
      </x:c>
      <x:c r="D514" t="n">
        <x:v>2</x:v>
      </x:c>
      <x:c r="E514" t="n">
        <x:v>0</x:v>
      </x:c>
      <x:c r="F514" t="n">
        <x:v>0</x:v>
      </x:c>
      <x:c r="G514" s="10" t="n">
        <x:v>0</x:v>
      </x:c>
      <x:c r="H514" s="10" t="n">
        <x:v>0</x:v>
      </x:c>
      <x:c r="I514" t="n">
        <x:v>0</x:v>
      </x:c>
      <x:c r="J514" s="6" t="n">
        <x:v>0</x:v>
      </x:c>
    </x:row>
    <x:row r="515">
      <x:c r="A515" t="str">
        <x:v>235 75 r15</x:v>
      </x:c>
      <x:c r="B515" t="str">
        <x:v>Medida</x:v>
      </x:c>
      <x:c r="C515" t="n">
        <x:v>2</x:v>
      </x:c>
      <x:c r="D515" t="n">
        <x:v>1</x:v>
      </x:c>
      <x:c r="E515" t="n">
        <x:v>1</x:v>
      </x:c>
      <x:c r="F515" t="n">
        <x:v>1</x:v>
      </x:c>
      <x:c r="G515" s="10" t="n">
        <x:v>0.5</x:v>
      </x:c>
      <x:c r="H515" s="10" t="n">
        <x:v>0</x:v>
      </x:c>
      <x:c r="I515" t="n">
        <x:v>0</x:v>
      </x:c>
      <x:c r="J515" s="6" t="n">
        <x:v>0</x:v>
      </x:c>
    </x:row>
    <x:row r="516">
      <x:c r="A516" t="str">
        <x:v>215 65</x:v>
      </x:c>
      <x:c r="B516" t="str">
        <x:v>Otro</x:v>
      </x:c>
      <x:c r="C516" t="n">
        <x:v>2</x:v>
      </x:c>
      <x:c r="D516" t="n">
        <x:v>1</x:v>
      </x:c>
      <x:c r="E516" t="n">
        <x:v>0</x:v>
      </x:c>
      <x:c r="F516" t="n">
        <x:v>0</x:v>
      </x:c>
      <x:c r="G516" s="10" t="n">
        <x:v>0</x:v>
      </x:c>
      <x:c r="H516" s="10" t="n">
        <x:v>0</x:v>
      </x:c>
      <x:c r="I516" t="n">
        <x:v>0</x:v>
      </x:c>
      <x:c r="J516" s="6" t="n">
        <x:v>0</x:v>
      </x:c>
    </x:row>
    <x:row r="517">
      <x:c r="A517" t="str">
        <x:v>235-45-r17-yokohama-bluearth-es32a-97v</x:v>
      </x:c>
      <x:c r="B517" t="str">
        <x:v>Producto / URL</x:v>
      </x:c>
      <x:c r="C517" t="n">
        <x:v>2</x:v>
      </x:c>
      <x:c r="D517" t="n">
        <x:v>2</x:v>
      </x:c>
      <x:c r="E517" t="n">
        <x:v>0</x:v>
      </x:c>
      <x:c r="F517" t="n">
        <x:v>0</x:v>
      </x:c>
      <x:c r="G517" s="10" t="n">
        <x:v>0</x:v>
      </x:c>
      <x:c r="H517" s="10" t="n">
        <x:v>0</x:v>
      </x:c>
      <x:c r="I517" t="n">
        <x:v>0</x:v>
      </x:c>
      <x:c r="J517" s="6" t="n">
        <x:v>0</x:v>
      </x:c>
    </x:row>
    <x:row r="518">
      <x:c r="A518" t="str">
        <x:v>225 50 18</x:v>
      </x:c>
      <x:c r="B518" t="str">
        <x:v>Medida</x:v>
      </x:c>
      <x:c r="C518" t="n">
        <x:v>2</x:v>
      </x:c>
      <x:c r="D518" t="n">
        <x:v>2</x:v>
      </x:c>
      <x:c r="E518" t="n">
        <x:v>1</x:v>
      </x:c>
      <x:c r="F518" t="n">
        <x:v>1</x:v>
      </x:c>
      <x:c r="G518" s="10" t="n">
        <x:v>0.5</x:v>
      </x:c>
      <x:c r="H518" s="10" t="n">
        <x:v>0</x:v>
      </x:c>
      <x:c r="I518" t="n">
        <x:v>0</x:v>
      </x:c>
      <x:c r="J518" s="6" t="n">
        <x:v>0</x:v>
      </x:c>
    </x:row>
    <x:row r="519">
      <x:c r="A519" t="str">
        <x:v>michelin 265-55-17</x:v>
      </x:c>
      <x:c r="B519" t="str">
        <x:v>Medida</x:v>
      </x:c>
      <x:c r="C519" t="n">
        <x:v>2</x:v>
      </x:c>
      <x:c r="D519" t="n">
        <x:v>2</x:v>
      </x:c>
      <x:c r="E519" t="n">
        <x:v>0</x:v>
      </x:c>
      <x:c r="F519" t="n">
        <x:v>0</x:v>
      </x:c>
      <x:c r="G519" s="10" t="n">
        <x:v>0</x:v>
      </x:c>
      <x:c r="H519" s="10" t="n">
        <x:v>0</x:v>
      </x:c>
      <x:c r="I519" t="n">
        <x:v>0</x:v>
      </x:c>
      <x:c r="J519" s="6" t="n">
        <x:v>0</x:v>
      </x:c>
    </x:row>
    <x:row r="520">
      <x:c r="A520" t="str">
        <x:v>235 50 r19</x:v>
      </x:c>
      <x:c r="B520" t="str">
        <x:v>Medida</x:v>
      </x:c>
      <x:c r="C520" t="n">
        <x:v>2</x:v>
      </x:c>
      <x:c r="D520" t="n">
        <x:v>2</x:v>
      </x:c>
      <x:c r="E520" t="n">
        <x:v>0</x:v>
      </x:c>
      <x:c r="F520" t="n">
        <x:v>0</x:v>
      </x:c>
      <x:c r="G520" s="10" t="n">
        <x:v>0</x:v>
      </x:c>
      <x:c r="H520" s="10" t="n">
        <x:v>0</x:v>
      </x:c>
      <x:c r="I520" t="n">
        <x:v>0</x:v>
      </x:c>
      <x:c r="J520" s="6" t="n">
        <x:v>0</x:v>
      </x:c>
    </x:row>
    <x:row r="521">
      <x:c r="A521" t="str">
        <x:v>265 60 18 michelin force</x:v>
      </x:c>
      <x:c r="B521" t="str">
        <x:v>Medida</x:v>
      </x:c>
      <x:c r="C521" t="n">
        <x:v>2</x:v>
      </x:c>
      <x:c r="D521" t="n">
        <x:v>2</x:v>
      </x:c>
      <x:c r="E521" t="n">
        <x:v>0</x:v>
      </x:c>
      <x:c r="F521" t="n">
        <x:v>0</x:v>
      </x:c>
      <x:c r="G521" s="10" t="n">
        <x:v>0</x:v>
      </x:c>
      <x:c r="H521" s="10" t="n">
        <x:v>0</x:v>
      </x:c>
      <x:c r="I521" t="n">
        <x:v>0</x:v>
      </x:c>
      <x:c r="J521" s="6" t="n">
        <x:v>0</x:v>
      </x:c>
    </x:row>
    <x:row r="522">
      <x:c r="A522" t="str">
        <x:v>mud terrain</x:v>
      </x:c>
      <x:c r="B522" t="str">
        <x:v>Otro</x:v>
      </x:c>
      <x:c r="C522" t="n">
        <x:v>2</x:v>
      </x:c>
      <x:c r="D522" t="n">
        <x:v>1</x:v>
      </x:c>
      <x:c r="E522" t="n">
        <x:v>0</x:v>
      </x:c>
      <x:c r="F522" t="n">
        <x:v>0</x:v>
      </x:c>
      <x:c r="G522" s="10" t="n">
        <x:v>0</x:v>
      </x:c>
      <x:c r="H522" s="10" t="n">
        <x:v>0</x:v>
      </x:c>
      <x:c r="I522" t="n">
        <x:v>0</x:v>
      </x:c>
      <x:c r="J522" s="6" t="n">
        <x:v>0</x:v>
      </x:c>
    </x:row>
    <x:row r="523">
      <x:c r="A523" t="str">
        <x:v>255 60 r17</x:v>
      </x:c>
      <x:c r="B523" t="str">
        <x:v>Medida</x:v>
      </x:c>
      <x:c r="C523" t="n">
        <x:v>2</x:v>
      </x:c>
      <x:c r="D523" t="n">
        <x:v>2</x:v>
      </x:c>
      <x:c r="E523" t="n">
        <x:v>0</x:v>
      </x:c>
      <x:c r="F523" t="n">
        <x:v>0</x:v>
      </x:c>
      <x:c r="G523" s="10" t="n">
        <x:v>0</x:v>
      </x:c>
      <x:c r="H523" s="10" t="n">
        <x:v>0</x:v>
      </x:c>
      <x:c r="I523" t="n">
        <x:v>0</x:v>
      </x:c>
      <x:c r="J523" s="6" t="n">
        <x:v>0</x:v>
      </x:c>
    </x:row>
    <x:row r="524">
      <x:c r="A524" t="str">
        <x:v>honda crv</x:v>
      </x:c>
      <x:c r="B524" t="str">
        <x:v>Otro</x:v>
      </x:c>
      <x:c r="C524" t="n">
        <x:v>2</x:v>
      </x:c>
      <x:c r="D524" t="n">
        <x:v>1</x:v>
      </x:c>
      <x:c r="E524" t="n">
        <x:v>1</x:v>
      </x:c>
      <x:c r="F524" t="n">
        <x:v>1</x:v>
      </x:c>
      <x:c r="G524" s="10" t="n">
        <x:v>0.5</x:v>
      </x:c>
      <x:c r="H524" s="10" t="n">
        <x:v>0</x:v>
      </x:c>
      <x:c r="I524" t="n">
        <x:v>0</x:v>
      </x:c>
      <x:c r="J524" s="6" t="n">
        <x:v>0</x:v>
      </x:c>
    </x:row>
    <x:row r="525">
      <x:c r="A525" t="str">
        <x:v>michelin retro</x:v>
      </x:c>
      <x:c r="B525" t="str">
        <x:v>Otro</x:v>
      </x:c>
      <x:c r="C525" t="n">
        <x:v>2</x:v>
      </x:c>
      <x:c r="D525" t="n">
        <x:v>2</x:v>
      </x:c>
      <x:c r="E525" t="n">
        <x:v>0</x:v>
      </x:c>
      <x:c r="F525" t="n">
        <x:v>0</x:v>
      </x:c>
      <x:c r="G525" s="10" t="n">
        <x:v>0</x:v>
      </x:c>
      <x:c r="H525" s="10" t="n">
        <x:v>0</x:v>
      </x:c>
      <x:c r="I525" t="n">
        <x:v>0</x:v>
      </x:c>
      <x:c r="J525" s="6" t="n">
        <x:v>0</x:v>
      </x:c>
    </x:row>
    <x:row r="526">
      <x:c r="A526" t="str">
        <x:v>225, 65, 17</x:v>
      </x:c>
      <x:c r="B526" t="str">
        <x:v>Otro</x:v>
      </x:c>
      <x:c r="C526" t="n">
        <x:v>2</x:v>
      </x:c>
      <x:c r="D526" t="n">
        <x:v>1</x:v>
      </x:c>
      <x:c r="E526" t="n">
        <x:v>1</x:v>
      </x:c>
      <x:c r="F526" t="n">
        <x:v>1</x:v>
      </x:c>
      <x:c r="G526" s="10" t="n">
        <x:v>0.5</x:v>
      </x:c>
      <x:c r="H526" s="10" t="n">
        <x:v>0</x:v>
      </x:c>
      <x:c r="I526" t="n">
        <x:v>0</x:v>
      </x:c>
      <x:c r="J526" s="6" t="n">
        <x:v>0</x:v>
      </x:c>
    </x:row>
    <x:row r="527">
      <x:c r="A527" t="str">
        <x:v>135</x:v>
      </x:c>
      <x:c r="B527" t="str">
        <x:v>Otro</x:v>
      </x:c>
      <x:c r="C527" t="n">
        <x:v>2</x:v>
      </x:c>
      <x:c r="D527" t="n">
        <x:v>2</x:v>
      </x:c>
      <x:c r="E527" t="n">
        <x:v>0</x:v>
      </x:c>
      <x:c r="F527" t="n">
        <x:v>0</x:v>
      </x:c>
      <x:c r="G527" s="10" t="n">
        <x:v>0</x:v>
      </x:c>
      <x:c r="H527" s="10" t="n">
        <x:v>0</x:v>
      </x:c>
      <x:c r="I527" t="n">
        <x:v>0</x:v>
      </x:c>
      <x:c r="J527" s="6" t="n">
        <x:v>0</x:v>
      </x:c>
    </x:row>
    <x:row r="528">
      <x:c r="A528" t="str">
        <x:v>110 70 12</x:v>
      </x:c>
      <x:c r="B528" t="str">
        <x:v>Medida</x:v>
      </x:c>
      <x:c r="C528" t="n">
        <x:v>2</x:v>
      </x:c>
      <x:c r="D528" t="n">
        <x:v>2</x:v>
      </x:c>
      <x:c r="E528" t="n">
        <x:v>0</x:v>
      </x:c>
      <x:c r="F528" t="n">
        <x:v>0</x:v>
      </x:c>
      <x:c r="G528" s="10" t="n">
        <x:v>0</x:v>
      </x:c>
      <x:c r="H528" s="10" t="n">
        <x:v>0</x:v>
      </x:c>
      <x:c r="I528" t="n">
        <x:v>0</x:v>
      </x:c>
      <x:c r="J528" s="6" t="n">
        <x:v>0</x:v>
      </x:c>
    </x:row>
    <x:row r="529">
      <x:c r="A529" t="str">
        <x:v>33 12.5 r15</x:v>
      </x:c>
      <x:c r="B529" t="str">
        <x:v>Otro</x:v>
      </x:c>
      <x:c r="C529" t="n">
        <x:v>2</x:v>
      </x:c>
      <x:c r="D529" t="n">
        <x:v>1</x:v>
      </x:c>
      <x:c r="E529" t="n">
        <x:v>0</x:v>
      </x:c>
      <x:c r="F529" t="n">
        <x:v>0</x:v>
      </x:c>
      <x:c r="G529" s="10" t="n">
        <x:v>0</x:v>
      </x:c>
      <x:c r="H529" s="10" t="n">
        <x:v>0</x:v>
      </x:c>
      <x:c r="I529" t="n">
        <x:v>0</x:v>
      </x:c>
      <x:c r="J529" s="6" t="n">
        <x:v>0</x:v>
      </x:c>
    </x:row>
    <x:row r="530">
      <x:c r="A530" t="str">
        <x:v>864963</x:v>
      </x:c>
      <x:c r="B530" t="str">
        <x:v>Otro</x:v>
      </x:c>
      <x:c r="C530" t="n">
        <x:v>2</x:v>
      </x:c>
      <x:c r="D530" t="n">
        <x:v>2</x:v>
      </x:c>
      <x:c r="E530" t="n">
        <x:v>4</x:v>
      </x:c>
      <x:c r="F530" t="n">
        <x:v>2</x:v>
      </x:c>
      <x:c r="G530" s="10" t="n">
        <x:v>2</x:v>
      </x:c>
      <x:c r="H530" s="10" t="n">
        <x:v>0</x:v>
      </x:c>
      <x:c r="I530" t="n">
        <x:v>0</x:v>
      </x:c>
      <x:c r="J530" s="6" t="n">
        <x:v>0</x:v>
      </x:c>
    </x:row>
    <x:row r="531">
      <x:c r="A531" t="str">
        <x:v>michelin 175 65 15</x:v>
      </x:c>
      <x:c r="B531" t="str">
        <x:v>Medida</x:v>
      </x:c>
      <x:c r="C531" t="n">
        <x:v>2</x:v>
      </x:c>
      <x:c r="D531" t="n">
        <x:v>1</x:v>
      </x:c>
      <x:c r="E531" t="n">
        <x:v>0</x:v>
      </x:c>
      <x:c r="F531" t="n">
        <x:v>0</x:v>
      </x:c>
      <x:c r="G531" s="10" t="n">
        <x:v>0</x:v>
      </x:c>
      <x:c r="H531" s="10" t="n">
        <x:v>0</x:v>
      </x:c>
      <x:c r="I531" t="n">
        <x:v>0</x:v>
      </x:c>
      <x:c r="J531" s="6" t="n">
        <x:v>0</x:v>
      </x:c>
    </x:row>
    <x:row r="532">
      <x:c r="A532" t="str">
        <x:v>31 10,5 r15</x:v>
      </x:c>
      <x:c r="B532" t="str">
        <x:v>Otro</x:v>
      </x:c>
      <x:c r="C532" t="n">
        <x:v>2</x:v>
      </x:c>
      <x:c r="D532" t="n">
        <x:v>2</x:v>
      </x:c>
      <x:c r="E532" t="n">
        <x:v>1</x:v>
      </x:c>
      <x:c r="F532" t="n">
        <x:v>1</x:v>
      </x:c>
      <x:c r="G532" s="10" t="n">
        <x:v>0.5</x:v>
      </x:c>
      <x:c r="H532" s="10" t="n">
        <x:v>0</x:v>
      </x:c>
      <x:c r="I532" t="n">
        <x:v>0</x:v>
      </x:c>
      <x:c r="J532" s="6" t="n">
        <x:v>0</x:v>
      </x:c>
    </x:row>
    <x:row r="533">
      <x:c r="A533" t="str">
        <x:v>r15 235</x:v>
      </x:c>
      <x:c r="B533" t="str">
        <x:v>Otro</x:v>
      </x:c>
      <x:c r="C533" t="n">
        <x:v>2</x:v>
      </x:c>
      <x:c r="D533" t="n">
        <x:v>1</x:v>
      </x:c>
      <x:c r="E533" t="n">
        <x:v>1</x:v>
      </x:c>
      <x:c r="F533" t="n">
        <x:v>1</x:v>
      </x:c>
      <x:c r="G533" s="10" t="n">
        <x:v>0.5</x:v>
      </x:c>
      <x:c r="H533" s="10" t="n">
        <x:v>0</x:v>
      </x:c>
      <x:c r="I533" t="n">
        <x:v>0</x:v>
      </x:c>
      <x:c r="J533" s="6" t="n">
        <x:v>0</x:v>
      </x:c>
    </x:row>
    <x:row r="534">
      <x:c r="A534" t="str">
        <x:v>MR-0040</x:v>
      </x:c>
      <x:c r="B534" t="str">
        <x:v>Otro</x:v>
      </x:c>
      <x:c r="C534" t="n">
        <x:v>2</x:v>
      </x:c>
      <x:c r="D534" t="n">
        <x:v>2</x:v>
      </x:c>
      <x:c r="E534" t="n">
        <x:v>0</x:v>
      </x:c>
      <x:c r="F534" t="n">
        <x:v>0</x:v>
      </x:c>
      <x:c r="G534" s="10" t="n">
        <x:v>0</x:v>
      </x:c>
      <x:c r="H534" s="10" t="n">
        <x:v>0</x:v>
      </x:c>
      <x:c r="I534" t="n">
        <x:v>0</x:v>
      </x:c>
      <x:c r="J534" s="6" t="n">
        <x:v>0</x:v>
      </x:c>
    </x:row>
    <x:row r="535">
      <x:c r="A535" t="str">
        <x:v>255 40 18</x:v>
      </x:c>
      <x:c r="B535" t="str">
        <x:v>Medida</x:v>
      </x:c>
      <x:c r="C535" t="n">
        <x:v>2</x:v>
      </x:c>
      <x:c r="D535" t="n">
        <x:v>2</x:v>
      </x:c>
      <x:c r="E535" t="n">
        <x:v>0</x:v>
      </x:c>
      <x:c r="F535" t="n">
        <x:v>0</x:v>
      </x:c>
      <x:c r="G535" s="10" t="n">
        <x:v>0</x:v>
      </x:c>
      <x:c r="H535" s="10" t="n">
        <x:v>0</x:v>
      </x:c>
      <x:c r="I535" t="n">
        <x:v>0</x:v>
      </x:c>
      <x:c r="J535" s="6" t="n">
        <x:v>0</x:v>
      </x:c>
    </x:row>
    <x:row r="536">
      <x:c r="A536" t="str">
        <x:v>x-ice snow</x:v>
      </x:c>
      <x:c r="B536" t="str">
        <x:v>Otro</x:v>
      </x:c>
      <x:c r="C536" t="n">
        <x:v>2</x:v>
      </x:c>
      <x:c r="D536" t="n">
        <x:v>2</x:v>
      </x:c>
      <x:c r="E536" t="n">
        <x:v>0</x:v>
      </x:c>
      <x:c r="F536" t="n">
        <x:v>0</x:v>
      </x:c>
      <x:c r="G536" s="10" t="n">
        <x:v>0</x:v>
      </x:c>
      <x:c r="H536" s="10" t="n">
        <x:v>0</x:v>
      </x:c>
      <x:c r="I536" t="n">
        <x:v>0</x:v>
      </x:c>
      <x:c r="J536" s="6" t="n">
        <x:v>0</x:v>
      </x:c>
    </x:row>
    <x:row r="537">
      <x:c r="A537" t="str">
        <x:v>conti eco contact 195 55 r16</x:v>
      </x:c>
      <x:c r="B537" t="str">
        <x:v>Medida</x:v>
      </x:c>
      <x:c r="C537" t="n">
        <x:v>2</x:v>
      </x:c>
      <x:c r="D537" t="n">
        <x:v>2</x:v>
      </x:c>
      <x:c r="E537" t="n">
        <x:v>0</x:v>
      </x:c>
      <x:c r="F537" t="n">
        <x:v>0</x:v>
      </x:c>
      <x:c r="G537" s="10" t="n">
        <x:v>0</x:v>
      </x:c>
      <x:c r="H537" s="10" t="n">
        <x:v>0</x:v>
      </x:c>
      <x:c r="I537" t="n">
        <x:v>0</x:v>
      </x:c>
      <x:c r="J537" s="6" t="n">
        <x:v>0</x:v>
      </x:c>
    </x:row>
    <x:row r="538">
      <x:c r="A538" t="str">
        <x:v>196 60 16</x:v>
      </x:c>
      <x:c r="B538" t="str">
        <x:v>Medida</x:v>
      </x:c>
      <x:c r="C538" t="n">
        <x:v>2</x:v>
      </x:c>
      <x:c r="D538" t="n">
        <x:v>1</x:v>
      </x:c>
      <x:c r="E538" t="n">
        <x:v>0</x:v>
      </x:c>
      <x:c r="F538" t="n">
        <x:v>0</x:v>
      </x:c>
      <x:c r="G538" s="10" t="n">
        <x:v>0</x:v>
      </x:c>
      <x:c r="H538" s="10" t="n">
        <x:v>0</x:v>
      </x:c>
      <x:c r="I538" t="n">
        <x:v>0</x:v>
      </x:c>
      <x:c r="J538" s="6" t="n">
        <x:v>0</x:v>
      </x:c>
    </x:row>
    <x:row r="539">
      <x:c r="A539" t="str">
        <x:v>195 55 r16 michelin</x:v>
      </x:c>
      <x:c r="B539" t="str">
        <x:v>Medida</x:v>
      </x:c>
      <x:c r="C539" t="n">
        <x:v>2</x:v>
      </x:c>
      <x:c r="D539" t="n">
        <x:v>2</x:v>
      </x:c>
      <x:c r="E539" t="n">
        <x:v>0</x:v>
      </x:c>
      <x:c r="F539" t="n">
        <x:v>0</x:v>
      </x:c>
      <x:c r="G539" s="10" t="n">
        <x:v>0</x:v>
      </x:c>
      <x:c r="H539" s="10" t="n">
        <x:v>0</x:v>
      </x:c>
      <x:c r="I539" t="n">
        <x:v>0</x:v>
      </x:c>
      <x:c r="J539" s="6" t="n">
        <x:v>0</x:v>
      </x:c>
    </x:row>
    <x:row r="540">
      <x:c r="A540" t="str">
        <x:v>001-ms</x:v>
      </x:c>
      <x:c r="B540" t="str">
        <x:v>Otro</x:v>
      </x:c>
      <x:c r="C540" t="n">
        <x:v>2</x:v>
      </x:c>
      <x:c r="D540" t="n">
        <x:v>2</x:v>
      </x:c>
      <x:c r="E540" t="n">
        <x:v>1</x:v>
      </x:c>
      <x:c r="F540" t="n">
        <x:v>1</x:v>
      </x:c>
      <x:c r="G540" s="10" t="n">
        <x:v>0.5</x:v>
      </x:c>
      <x:c r="H540" s="10" t="n">
        <x:v>0</x:v>
      </x:c>
      <x:c r="I540" t="n">
        <x:v>0</x:v>
      </x:c>
      <x:c r="J540" s="6" t="n">
        <x:v>0</x:v>
      </x:c>
    </x:row>
    <x:row r="541">
      <x:c r="A541" t="str">
        <x:v>yokohama geoland</x:v>
      </x:c>
      <x:c r="B541" t="str">
        <x:v>Otro</x:v>
      </x:c>
      <x:c r="C541" t="n">
        <x:v>2</x:v>
      </x:c>
      <x:c r="D541" t="n">
        <x:v>1</x:v>
      </x:c>
      <x:c r="E541" t="n">
        <x:v>0</x:v>
      </x:c>
      <x:c r="F541" t="n">
        <x:v>0</x:v>
      </x:c>
      <x:c r="G541" s="10" t="n">
        <x:v>0</x:v>
      </x:c>
      <x:c r="H541" s="10" t="n">
        <x:v>0</x:v>
      </x:c>
      <x:c r="I541" t="n">
        <x:v>0</x:v>
      </x:c>
      <x:c r="J541" s="6" t="n">
        <x:v>0</x:v>
      </x:c>
    </x:row>
    <x:row r="542">
      <x:c r="A542" t="str">
        <x:v>37x12.5 r20</x:v>
      </x:c>
      <x:c r="B542" t="str">
        <x:v>Otro</x:v>
      </x:c>
      <x:c r="C542" t="n">
        <x:v>2</x:v>
      </x:c>
      <x:c r="D542" t="n">
        <x:v>2</x:v>
      </x:c>
      <x:c r="E542" t="n">
        <x:v>0</x:v>
      </x:c>
      <x:c r="F542" t="n">
        <x:v>0</x:v>
      </x:c>
      <x:c r="G542" s="10" t="n">
        <x:v>0</x:v>
      </x:c>
      <x:c r="H542" s="10" t="n">
        <x:v>0</x:v>
      </x:c>
      <x:c r="I542" t="n">
        <x:v>0</x:v>
      </x:c>
      <x:c r="J542" s="6" t="n">
        <x:v>0</x:v>
      </x:c>
    </x:row>
    <x:row r="543">
      <x:c r="A543" t="str">
        <x:v>continental 55 55 17</x:v>
      </x:c>
      <x:c r="B543" t="str">
        <x:v>Otro</x:v>
      </x:c>
      <x:c r="C543" t="n">
        <x:v>2</x:v>
      </x:c>
      <x:c r="D543" t="n">
        <x:v>2</x:v>
      </x:c>
      <x:c r="E543" t="n">
        <x:v>0</x:v>
      </x:c>
      <x:c r="F543" t="n">
        <x:v>0</x:v>
      </x:c>
      <x:c r="G543" s="10" t="n">
        <x:v>0</x:v>
      </x:c>
      <x:c r="H543" s="10" t="n">
        <x:v>0</x:v>
      </x:c>
      <x:c r="I543" t="n">
        <x:v>0</x:v>
      </x:c>
      <x:c r="J543" s="6" t="n">
        <x:v>0</x:v>
      </x:c>
    </x:row>
    <x:row r="544">
      <x:c r="A544" t="str">
        <x:v>michelin primacy 225 45 17</x:v>
      </x:c>
      <x:c r="B544" t="str">
        <x:v>Medida</x:v>
      </x:c>
      <x:c r="C544" t="n">
        <x:v>2</x:v>
      </x:c>
      <x:c r="D544" t="n">
        <x:v>2</x:v>
      </x:c>
      <x:c r="E544" t="n">
        <x:v>0</x:v>
      </x:c>
      <x:c r="F544" t="n">
        <x:v>0</x:v>
      </x:c>
      <x:c r="G544" s="10" t="n">
        <x:v>0</x:v>
      </x:c>
      <x:c r="H544" s="10" t="n">
        <x:v>0</x:v>
      </x:c>
      <x:c r="I544" t="n">
        <x:v>0</x:v>
      </x:c>
      <x:c r="J544" s="6" t="n">
        <x:v>0</x:v>
      </x:c>
    </x:row>
    <x:row r="545">
      <x:c r="A545" t="str">
        <x:v>neumatico 295</x:v>
      </x:c>
      <x:c r="B545" t="str">
        <x:v>Otro</x:v>
      </x:c>
      <x:c r="C545" t="n">
        <x:v>2</x:v>
      </x:c>
      <x:c r="D545" t="n">
        <x:v>1</x:v>
      </x:c>
      <x:c r="E545" t="n">
        <x:v>0</x:v>
      </x:c>
      <x:c r="F545" t="n">
        <x:v>0</x:v>
      </x:c>
      <x:c r="G545" s="10" t="n">
        <x:v>0</x:v>
      </x:c>
      <x:c r="H545" s="10" t="n">
        <x:v>0</x:v>
      </x:c>
      <x:c r="I545" t="n">
        <x:v>0</x:v>
      </x:c>
      <x:c r="J545" s="6" t="n">
        <x:v>0</x:v>
      </x:c>
    </x:row>
    <x:row r="546">
      <x:c r="A546" t="str">
        <x:v>sucursales</x:v>
      </x:c>
      <x:c r="B546" t="str">
        <x:v>Otro</x:v>
      </x:c>
      <x:c r="C546" t="n">
        <x:v>2</x:v>
      </x:c>
      <x:c r="D546" t="n">
        <x:v>2</x:v>
      </x:c>
      <x:c r="E546" t="n">
        <x:v>0</x:v>
      </x:c>
      <x:c r="F546" t="n">
        <x:v>0</x:v>
      </x:c>
      <x:c r="G546" s="10" t="n">
        <x:v>0</x:v>
      </x:c>
      <x:c r="H546" s="10" t="n">
        <x:v>0</x:v>
      </x:c>
      <x:c r="I546" t="n">
        <x:v>0</x:v>
      </x:c>
      <x:c r="J546" s="6" t="n">
        <x:v>0</x:v>
      </x:c>
    </x:row>
    <x:row r="547">
      <x:c r="A547" t="str">
        <x:v>13</x:v>
      </x:c>
      <x:c r="B547" t="str">
        <x:v>Otro</x:v>
      </x:c>
      <x:c r="C547" t="n">
        <x:v>2</x:v>
      </x:c>
      <x:c r="D547" t="n">
        <x:v>2</x:v>
      </x:c>
      <x:c r="E547" t="n">
        <x:v>0</x:v>
      </x:c>
      <x:c r="F547" t="n">
        <x:v>0</x:v>
      </x:c>
      <x:c r="G547" s="10" t="n">
        <x:v>0</x:v>
      </x:c>
      <x:c r="H547" s="10" t="n">
        <x:v>0</x:v>
      </x:c>
      <x:c r="I547" t="n">
        <x:v>0</x:v>
      </x:c>
      <x:c r="J547" s="6" t="n">
        <x:v>0</x:v>
      </x:c>
    </x:row>
    <x:row r="548">
      <x:c r="A548" t="str">
        <x:v>185x65x15</x:v>
      </x:c>
      <x:c r="B548" t="str">
        <x:v>Otro</x:v>
      </x:c>
      <x:c r="C548" t="n">
        <x:v>2</x:v>
      </x:c>
      <x:c r="D548" t="n">
        <x:v>2</x:v>
      </x:c>
      <x:c r="E548" t="n">
        <x:v>0</x:v>
      </x:c>
      <x:c r="F548" t="n">
        <x:v>0</x:v>
      </x:c>
      <x:c r="G548" s="10" t="n">
        <x:v>0</x:v>
      </x:c>
      <x:c r="H548" s="10" t="n">
        <x:v>0</x:v>
      </x:c>
      <x:c r="I548" t="n">
        <x:v>0</x:v>
      </x:c>
      <x:c r="J548" s="6" t="n">
        <x:v>0</x:v>
      </x:c>
    </x:row>
    <x:row r="549">
      <x:c r="A549" t="str">
        <x:v>bridgestone potenza 215 50 r17</x:v>
      </x:c>
      <x:c r="B549" t="str">
        <x:v>Medida</x:v>
      </x:c>
      <x:c r="C549" t="n">
        <x:v>2</x:v>
      </x:c>
      <x:c r="D549" t="n">
        <x:v>2</x:v>
      </x:c>
      <x:c r="E549" t="n">
        <x:v>0</x:v>
      </x:c>
      <x:c r="F549" t="n">
        <x:v>0</x:v>
      </x:c>
      <x:c r="G549" s="10" t="n">
        <x:v>0</x:v>
      </x:c>
      <x:c r="H549" s="10" t="n">
        <x:v>0</x:v>
      </x:c>
      <x:c r="I549" t="n">
        <x:v>0</x:v>
      </x:c>
      <x:c r="J549" s="6" t="n">
        <x:v>0</x:v>
      </x:c>
    </x:row>
    <x:row r="550">
      <x:c r="A550" t="str">
        <x:v>hp172</x:v>
      </x:c>
      <x:c r="B550" t="str">
        <x:v>Otro</x:v>
      </x:c>
      <x:c r="C550" t="n">
        <x:v>2</x:v>
      </x:c>
      <x:c r="D550" t="n">
        <x:v>2</x:v>
      </x:c>
      <x:c r="E550" t="n">
        <x:v>1</x:v>
      </x:c>
      <x:c r="F550" t="n">
        <x:v>1</x:v>
      </x:c>
      <x:c r="G550" s="10" t="n">
        <x:v>0.5</x:v>
      </x:c>
      <x:c r="H550" s="10" t="n">
        <x:v>0</x:v>
      </x:c>
      <x:c r="I550" t="n">
        <x:v>0</x:v>
      </x:c>
      <x:c r="J550" s="6" t="n">
        <x:v>0</x:v>
      </x:c>
    </x:row>
    <x:row r="551">
      <x:c r="A551" t="str">
        <x:v>65 r15</x:v>
      </x:c>
      <x:c r="B551" t="str">
        <x:v>Otro</x:v>
      </x:c>
      <x:c r="C551" t="n">
        <x:v>2</x:v>
      </x:c>
      <x:c r="D551" t="n">
        <x:v>1</x:v>
      </x:c>
      <x:c r="E551" t="n">
        <x:v>0</x:v>
      </x:c>
      <x:c r="F551" t="n">
        <x:v>0</x:v>
      </x:c>
      <x:c r="G551" s="10" t="n">
        <x:v>0</x:v>
      </x:c>
      <x:c r="H551" s="10" t="n">
        <x:v>0</x:v>
      </x:c>
      <x:c r="I551" t="n">
        <x:v>0</x:v>
      </x:c>
      <x:c r="J551" s="6" t="n">
        <x:v>0</x:v>
      </x:c>
    </x:row>
    <x:row r="552">
      <x:c r="A552" t="str">
        <x:v>208 gti</x:v>
      </x:c>
      <x:c r="B552" t="str">
        <x:v>Otro</x:v>
      </x:c>
      <x:c r="C552" t="n">
        <x:v>2</x:v>
      </x:c>
      <x:c r="D552" t="n">
        <x:v>2</x:v>
      </x:c>
      <x:c r="E552" t="n">
        <x:v>0</x:v>
      </x:c>
      <x:c r="F552" t="n">
        <x:v>0</x:v>
      </x:c>
      <x:c r="G552" s="10" t="n">
        <x:v>0</x:v>
      </x:c>
      <x:c r="H552" s="10" t="n">
        <x:v>0</x:v>
      </x:c>
      <x:c r="I552" t="n">
        <x:v>0</x:v>
      </x:c>
      <x:c r="J552" s="6" t="n">
        <x:v>0</x:v>
      </x:c>
    </x:row>
    <x:row r="553">
      <x:c r="A553" t="str">
        <x:v>cubierta 185-60-15</x:v>
      </x:c>
      <x:c r="B553" t="str">
        <x:v>Medida</x:v>
      </x:c>
      <x:c r="C553" t="n">
        <x:v>2</x:v>
      </x:c>
      <x:c r="D553" t="n">
        <x:v>2</x:v>
      </x:c>
      <x:c r="E553" t="n">
        <x:v>0</x:v>
      </x:c>
      <x:c r="F553" t="n">
        <x:v>0</x:v>
      </x:c>
      <x:c r="G553" s="10" t="n">
        <x:v>0</x:v>
      </x:c>
      <x:c r="H553" s="10" t="n">
        <x:v>0</x:v>
      </x:c>
      <x:c r="I553" t="n">
        <x:v>0</x:v>
      </x:c>
      <x:c r="J553" s="6" t="n">
        <x:v>0</x:v>
      </x:c>
    </x:row>
    <x:row r="554">
      <x:c r="A554" t="str">
        <x:v>225-65-r17-michelin-primacy-4-suv-102h</x:v>
      </x:c>
      <x:c r="B554" t="str">
        <x:v>Producto / URL</x:v>
      </x:c>
      <x:c r="C554" t="n">
        <x:v>2</x:v>
      </x:c>
      <x:c r="D554" t="n">
        <x:v>2</x:v>
      </x:c>
      <x:c r="E554" t="n">
        <x:v>0</x:v>
      </x:c>
      <x:c r="F554" t="n">
        <x:v>0</x:v>
      </x:c>
      <x:c r="G554" s="10" t="n">
        <x:v>0</x:v>
      </x:c>
      <x:c r="H554" s="10" t="n">
        <x:v>0</x:v>
      </x:c>
      <x:c r="I554" t="n">
        <x:v>0</x:v>
      </x:c>
      <x:c r="J554" s="6" t="n">
        <x:v>0</x:v>
      </x:c>
    </x:row>
    <x:row r="555">
      <x:c r="A555" t="str">
        <x:v>35 x 12.50 r18</x:v>
      </x:c>
      <x:c r="B555" t="str">
        <x:v>Otro</x:v>
      </x:c>
      <x:c r="C555" t="n">
        <x:v>2</x:v>
      </x:c>
      <x:c r="D555" t="n">
        <x:v>2</x:v>
      </x:c>
      <x:c r="E555" t="n">
        <x:v>0</x:v>
      </x:c>
      <x:c r="F555" t="n">
        <x:v>0</x:v>
      </x:c>
      <x:c r="G555" s="10" t="n">
        <x:v>0</x:v>
      </x:c>
      <x:c r="H555" s="10" t="n">
        <x:v>0</x:v>
      </x:c>
      <x:c r="I555" t="n">
        <x:v>0</x:v>
      </x:c>
      <x:c r="J555" s="6" t="n">
        <x:v>0</x:v>
      </x:c>
    </x:row>
    <x:row r="556">
      <x:c r="A556" t="str">
        <x:v>255 60 r18</x:v>
      </x:c>
      <x:c r="B556" t="str">
        <x:v>Medida</x:v>
      </x:c>
      <x:c r="C556" t="n">
        <x:v>2</x:v>
      </x:c>
      <x:c r="D556" t="n">
        <x:v>2</x:v>
      </x:c>
      <x:c r="E556" t="n">
        <x:v>0</x:v>
      </x:c>
      <x:c r="F556" t="n">
        <x:v>0</x:v>
      </x:c>
      <x:c r="G556" s="10" t="n">
        <x:v>0</x:v>
      </x:c>
      <x:c r="H556" s="10" t="n">
        <x:v>0</x:v>
      </x:c>
      <x:c r="I556" t="n">
        <x:v>0</x:v>
      </x:c>
      <x:c r="J556" s="6" t="n">
        <x:v>0</x:v>
      </x:c>
    </x:row>
    <x:row r="557">
      <x:c r="A557" t="str">
        <x:v>balanceo</x:v>
      </x:c>
      <x:c r="B557" t="str">
        <x:v>Otro</x:v>
      </x:c>
      <x:c r="C557" t="n">
        <x:v>2</x:v>
      </x:c>
      <x:c r="D557" t="n">
        <x:v>2</x:v>
      </x:c>
      <x:c r="E557" t="n">
        <x:v>0</x:v>
      </x:c>
      <x:c r="F557" t="n">
        <x:v>0</x:v>
      </x:c>
      <x:c r="G557" s="10" t="n">
        <x:v>0</x:v>
      </x:c>
      <x:c r="H557" s="10" t="n">
        <x:v>0</x:v>
      </x:c>
      <x:c r="I557" t="n">
        <x:v>0</x:v>
      </x:c>
      <x:c r="J557" s="6" t="n">
        <x:v>0</x:v>
      </x:c>
    </x:row>
    <x:row r="558">
      <x:c r="A558" t="str">
        <x:v>37</x:v>
      </x:c>
      <x:c r="B558" t="str">
        <x:v>Otro</x:v>
      </x:c>
      <x:c r="C558" t="n">
        <x:v>2</x:v>
      </x:c>
      <x:c r="D558" t="n">
        <x:v>2</x:v>
      </x:c>
      <x:c r="E558" t="n">
        <x:v>0</x:v>
      </x:c>
      <x:c r="F558" t="n">
        <x:v>0</x:v>
      </x:c>
      <x:c r="G558" s="10" t="n">
        <x:v>0</x:v>
      </x:c>
      <x:c r="H558" s="10" t="n">
        <x:v>0</x:v>
      </x:c>
      <x:c r="I558" t="n">
        <x:v>0</x:v>
      </x:c>
      <x:c r="J558" s="6" t="n">
        <x:v>0</x:v>
      </x:c>
    </x:row>
    <x:row r="559">
      <x:c r="A559" t="str">
        <x:v>sumaxx 315 70 r17</x:v>
      </x:c>
      <x:c r="B559" t="str">
        <x:v>Medida</x:v>
      </x:c>
      <x:c r="C559" t="n">
        <x:v>2</x:v>
      </x:c>
      <x:c r="D559" t="n">
        <x:v>2</x:v>
      </x:c>
      <x:c r="E559" t="n">
        <x:v>0</x:v>
      </x:c>
      <x:c r="F559" t="n">
        <x:v>0</x:v>
      </x:c>
      <x:c r="G559" s="10" t="n">
        <x:v>0</x:v>
      </x:c>
      <x:c r="H559" s="10" t="n">
        <x:v>0</x:v>
      </x:c>
      <x:c r="I559" t="n">
        <x:v>0</x:v>
      </x:c>
      <x:c r="J559" s="6" t="n">
        <x:v>0</x:v>
      </x:c>
    </x:row>
    <x:row r="560">
      <x:c r="A560" t="str">
        <x:v>145 70 r12</x:v>
      </x:c>
      <x:c r="B560" t="str">
        <x:v>Medida</x:v>
      </x:c>
      <x:c r="C560" t="n">
        <x:v>2</x:v>
      </x:c>
      <x:c r="D560" t="n">
        <x:v>2</x:v>
      </x:c>
      <x:c r="E560" t="n">
        <x:v>0</x:v>
      </x:c>
      <x:c r="F560" t="n">
        <x:v>0</x:v>
      </x:c>
      <x:c r="G560" s="10" t="n">
        <x:v>0</x:v>
      </x:c>
      <x:c r="H560" s="10" t="n">
        <x:v>0</x:v>
      </x:c>
      <x:c r="I560" t="n">
        <x:v>0</x:v>
      </x:c>
      <x:c r="J560" s="6" t="n">
        <x:v>0</x:v>
      </x:c>
    </x:row>
    <x:row r="561">
      <x:c r="A561" t="str">
        <x:v>r 15 205 65</x:v>
      </x:c>
      <x:c r="B561" t="str">
        <x:v>Otro</x:v>
      </x:c>
      <x:c r="C561" t="n">
        <x:v>2</x:v>
      </x:c>
      <x:c r="D561" t="n">
        <x:v>1</x:v>
      </x:c>
      <x:c r="E561" t="n">
        <x:v>0</x:v>
      </x:c>
      <x:c r="F561" t="n">
        <x:v>0</x:v>
      </x:c>
      <x:c r="G561" s="10" t="n">
        <x:v>0</x:v>
      </x:c>
      <x:c r="H561" s="10" t="n">
        <x:v>0</x:v>
      </x:c>
      <x:c r="I561" t="n">
        <x:v>0</x:v>
      </x:c>
      <x:c r="J561" s="6" t="n">
        <x:v>0</x:v>
      </x:c>
    </x:row>
    <x:row r="562">
      <x:c r="A562" t="str">
        <x:v>316135</x:v>
      </x:c>
      <x:c r="B562" t="str">
        <x:v>Otro</x:v>
      </x:c>
      <x:c r="C562" t="n">
        <x:v>2</x:v>
      </x:c>
      <x:c r="D562" t="n">
        <x:v>2</x:v>
      </x:c>
      <x:c r="E562" t="n">
        <x:v>8</x:v>
      </x:c>
      <x:c r="F562" t="n">
        <x:v>1</x:v>
      </x:c>
      <x:c r="G562" s="10" t="n">
        <x:v>4</x:v>
      </x:c>
      <x:c r="H562" s="10" t="n">
        <x:v>0</x:v>
      </x:c>
      <x:c r="I562" t="n">
        <x:v>0</x:v>
      </x:c>
      <x:c r="J562" s="6" t="n">
        <x:v>0</x:v>
      </x:c>
    </x:row>
    <x:row r="563">
      <x:c r="A563" t="str">
        <x:v>285 60 18</x:v>
      </x:c>
      <x:c r="B563" t="str">
        <x:v>Medida</x:v>
      </x:c>
      <x:c r="C563" t="n">
        <x:v>2</x:v>
      </x:c>
      <x:c r="D563" t="n">
        <x:v>2</x:v>
      </x:c>
      <x:c r="E563" t="n">
        <x:v>0</x:v>
      </x:c>
      <x:c r="F563" t="n">
        <x:v>0</x:v>
      </x:c>
      <x:c r="G563" s="10" t="n">
        <x:v>0</x:v>
      </x:c>
      <x:c r="H563" s="10" t="n">
        <x:v>0</x:v>
      </x:c>
      <x:c r="I563" t="n">
        <x:v>0</x:v>
      </x:c>
      <x:c r="J563" s="6" t="n">
        <x:v>0</x:v>
      </x:c>
    </x:row>
    <x:row r="564">
      <x:c r="A564" t="str">
        <x:v>235-40-r18-mirage-mr-182-95w-1</x:v>
      </x:c>
      <x:c r="B564" t="str">
        <x:v>Producto / URL</x:v>
      </x:c>
      <x:c r="C564" t="n">
        <x:v>2</x:v>
      </x:c>
      <x:c r="D564" t="n">
        <x:v>1</x:v>
      </x:c>
      <x:c r="E564" t="n">
        <x:v>0</x:v>
      </x:c>
      <x:c r="F564" t="n">
        <x:v>0</x:v>
      </x:c>
      <x:c r="G564" s="10" t="n">
        <x:v>0</x:v>
      </x:c>
      <x:c r="H564" s="10" t="n">
        <x:v>0</x:v>
      </x:c>
      <x:c r="I564" t="n">
        <x:v>0</x:v>
      </x:c>
      <x:c r="J564" s="6" t="n">
        <x:v>0</x:v>
      </x:c>
    </x:row>
    <x:row r="565">
      <x:c r="A565" t="str">
        <x:v>245 35 18</x:v>
      </x:c>
      <x:c r="B565" t="str">
        <x:v>Medida</x:v>
      </x:c>
      <x:c r="C565" t="n">
        <x:v>2</x:v>
      </x:c>
      <x:c r="D565" t="n">
        <x:v>2</x:v>
      </x:c>
      <x:c r="E565" t="n">
        <x:v>0</x:v>
      </x:c>
      <x:c r="F565" t="n">
        <x:v>0</x:v>
      </x:c>
      <x:c r="G565" s="10" t="n">
        <x:v>0</x:v>
      </x:c>
      <x:c r="H565" s="10" t="n">
        <x:v>0</x:v>
      </x:c>
      <x:c r="I565" t="n">
        <x:v>0</x:v>
      </x:c>
      <x:c r="J565" s="6" t="n">
        <x:v>0</x:v>
      </x:c>
    </x:row>
    <x:row r="566">
      <x:c r="A566" t="str">
        <x:v>agilis 3</x:v>
      </x:c>
      <x:c r="B566" t="str">
        <x:v>Otro</x:v>
      </x:c>
      <x:c r="C566" t="n">
        <x:v>2</x:v>
      </x:c>
      <x:c r="D566" t="n">
        <x:v>2</x:v>
      </x:c>
      <x:c r="E566" t="n">
        <x:v>1</x:v>
      </x:c>
      <x:c r="F566" t="n">
        <x:v>1</x:v>
      </x:c>
      <x:c r="G566" s="10" t="n">
        <x:v>0.5</x:v>
      </x:c>
      <x:c r="H566" s="10" t="n">
        <x:v>0</x:v>
      </x:c>
      <x:c r="I566" t="n">
        <x:v>0</x:v>
      </x:c>
      <x:c r="J566" s="6" t="n">
        <x:v>0</x:v>
      </x:c>
    </x:row>
    <x:row r="567">
      <x:c r="A567" t="str">
        <x:v>265 70</x:v>
      </x:c>
      <x:c r="B567" t="str">
        <x:v>Otro</x:v>
      </x:c>
      <x:c r="C567" t="n">
        <x:v>2</x:v>
      </x:c>
      <x:c r="D567" t="n">
        <x:v>1</x:v>
      </x:c>
      <x:c r="E567" t="n">
        <x:v>1</x:v>
      </x:c>
      <x:c r="F567" t="n">
        <x:v>1</x:v>
      </x:c>
      <x:c r="G567" s="10" t="n">
        <x:v>0.5</x:v>
      </x:c>
      <x:c r="H567" s="10" t="n">
        <x:v>0</x:v>
      </x:c>
      <x:c r="I567" t="n">
        <x:v>0</x:v>
      </x:c>
      <x:c r="J567" s="6" t="n">
        <x:v>0</x:v>
      </x:c>
    </x:row>
    <x:row r="568">
      <x:c r="A568" t="str">
        <x:v>michelin antigua</x:v>
      </x:c>
      <x:c r="B568" t="str">
        <x:v>Otro</x:v>
      </x:c>
      <x:c r="C568" t="n">
        <x:v>2</x:v>
      </x:c>
      <x:c r="D568" t="n">
        <x:v>2</x:v>
      </x:c>
      <x:c r="E568" t="n">
        <x:v>0</x:v>
      </x:c>
      <x:c r="F568" t="n">
        <x:v>0</x:v>
      </x:c>
      <x:c r="G568" s="10" t="n">
        <x:v>0</x:v>
      </x:c>
      <x:c r="H568" s="10" t="n">
        <x:v>0</x:v>
      </x:c>
      <x:c r="I568" t="n">
        <x:v>0</x:v>
      </x:c>
      <x:c r="J568" s="6" t="n">
        <x:v>0</x:v>
      </x:c>
    </x:row>
    <x:row r="569">
      <x:c r="A569" t="str">
        <x:v>265-65-r17-sumaxx-all-terrain-at-112t</x:v>
      </x:c>
      <x:c r="B569" t="str">
        <x:v>Producto / URL</x:v>
      </x:c>
      <x:c r="C569" t="n">
        <x:v>2</x:v>
      </x:c>
      <x:c r="D569" t="n">
        <x:v>2</x:v>
      </x:c>
      <x:c r="E569" t="n">
        <x:v>0</x:v>
      </x:c>
      <x:c r="F569" t="n">
        <x:v>0</x:v>
      </x:c>
      <x:c r="G569" s="10" t="n">
        <x:v>0</x:v>
      </x:c>
      <x:c r="H569" s="10" t="n">
        <x:v>0</x:v>
      </x:c>
      <x:c r="I569" t="n">
        <x:v>0</x:v>
      </x:c>
      <x:c r="J569" s="6" t="n">
        <x:v>0</x:v>
      </x:c>
    </x:row>
    <x:row r="570">
      <x:c r="A570" t="str">
        <x:v>2657016</x:v>
      </x:c>
      <x:c r="B570" t="str">
        <x:v>Otro</x:v>
      </x:c>
      <x:c r="C570" t="n">
        <x:v>2</x:v>
      </x:c>
      <x:c r="D570" t="n">
        <x:v>2</x:v>
      </x:c>
      <x:c r="E570" t="n">
        <x:v>1</x:v>
      </x:c>
      <x:c r="F570" t="n">
        <x:v>1</x:v>
      </x:c>
      <x:c r="G570" s="10" t="n">
        <x:v>0.5</x:v>
      </x:c>
      <x:c r="H570" s="10" t="n">
        <x:v>0</x:v>
      </x:c>
      <x:c r="I570" t="n">
        <x:v>0</x:v>
      </x:c>
      <x:c r="J570" s="6" t="n">
        <x:v>0</x:v>
      </x:c>
    </x:row>
    <x:row r="571">
      <x:c r="A571" t="str">
        <x:v>235 65 19</x:v>
      </x:c>
      <x:c r="B571" t="str">
        <x:v>Medida</x:v>
      </x:c>
      <x:c r="C571" t="n">
        <x:v>2</x:v>
      </x:c>
      <x:c r="D571" t="n">
        <x:v>2</x:v>
      </x:c>
      <x:c r="E571" t="n">
        <x:v>0</x:v>
      </x:c>
      <x:c r="F571" t="n">
        <x:v>0</x:v>
      </x:c>
      <x:c r="G571" s="10" t="n">
        <x:v>0</x:v>
      </x:c>
      <x:c r="H571" s="10" t="n">
        <x:v>0</x:v>
      </x:c>
      <x:c r="I571" t="n">
        <x:v>0</x:v>
      </x:c>
      <x:c r="J571" s="6" t="n">
        <x:v>0</x:v>
      </x:c>
    </x:row>
    <x:row r="572">
      <x:c r="A572" t="str">
        <x:v>255 35 18</x:v>
      </x:c>
      <x:c r="B572" t="str">
        <x:v>Medida</x:v>
      </x:c>
      <x:c r="C572" t="n">
        <x:v>2</x:v>
      </x:c>
      <x:c r="D572" t="n">
        <x:v>2</x:v>
      </x:c>
      <x:c r="E572" t="n">
        <x:v>0</x:v>
      </x:c>
      <x:c r="F572" t="n">
        <x:v>0</x:v>
      </x:c>
      <x:c r="G572" s="10" t="n">
        <x:v>0</x:v>
      </x:c>
      <x:c r="H572" s="10" t="n">
        <x:v>0</x:v>
      </x:c>
      <x:c r="I572" t="n">
        <x:v>0</x:v>
      </x:c>
      <x:c r="J572" s="6" t="n">
        <x:v>0</x:v>
      </x:c>
    </x:row>
    <x:row r="573">
      <x:c r="A573" t="str">
        <x:v>Hidrolavadoras</x:v>
      </x:c>
      <x:c r="B573" t="str">
        <x:v>Otro</x:v>
      </x:c>
      <x:c r="C573" t="n">
        <x:v>2</x:v>
      </x:c>
      <x:c r="D573" t="n">
        <x:v>2</x:v>
      </x:c>
      <x:c r="E573" t="n">
        <x:v>0</x:v>
      </x:c>
      <x:c r="F573" t="n">
        <x:v>0</x:v>
      </x:c>
      <x:c r="G573" s="10" t="n">
        <x:v>0</x:v>
      </x:c>
      <x:c r="H573" s="10" t="n">
        <x:v>0</x:v>
      </x:c>
      <x:c r="I573" t="n">
        <x:v>0</x:v>
      </x:c>
      <x:c r="J573" s="6" t="n">
        <x:v>0</x:v>
      </x:c>
    </x:row>
    <x:row r="574">
      <x:c r="A574" t="str">
        <x:v>205 55 r16 91v continental powercontact 2</x:v>
      </x:c>
      <x:c r="B574" t="str">
        <x:v>Medida</x:v>
      </x:c>
      <x:c r="C574" t="n">
        <x:v>2</x:v>
      </x:c>
      <x:c r="D574" t="n">
        <x:v>2</x:v>
      </x:c>
      <x:c r="E574" t="n">
        <x:v>0</x:v>
      </x:c>
      <x:c r="F574" t="n">
        <x:v>0</x:v>
      </x:c>
      <x:c r="G574" s="10" t="n">
        <x:v>0</x:v>
      </x:c>
      <x:c r="H574" s="10" t="n">
        <x:v>0</x:v>
      </x:c>
      <x:c r="I574" t="n">
        <x:v>0</x:v>
      </x:c>
      <x:c r="J574" s="6" t="n">
        <x:v>0</x:v>
      </x:c>
    </x:row>
    <x:row r="575">
      <x:c r="A575" t="str">
        <x:v>3.5 x 8</x:v>
      </x:c>
      <x:c r="B575" t="str">
        <x:v>Otro</x:v>
      </x:c>
      <x:c r="C575" t="n">
        <x:v>2</x:v>
      </x:c>
      <x:c r="D575" t="n">
        <x:v>1</x:v>
      </x:c>
      <x:c r="E575" t="n">
        <x:v>0</x:v>
      </x:c>
      <x:c r="F575" t="n">
        <x:v>0</x:v>
      </x:c>
      <x:c r="G575" s="10" t="n">
        <x:v>0</x:v>
      </x:c>
      <x:c r="H575" s="10" t="n">
        <x:v>0</x:v>
      </x:c>
      <x:c r="I575" t="n">
        <x:v>0</x:v>
      </x:c>
      <x:c r="J575" s="6" t="n">
        <x:v>0</x:v>
      </x:c>
    </x:row>
    <x:row r="576">
      <x:c r="A576" t="str">
        <x:v>265 35 r18</x:v>
      </x:c>
      <x:c r="B576" t="str">
        <x:v>Medida</x:v>
      </x:c>
      <x:c r="C576" t="n">
        <x:v>2</x:v>
      </x:c>
      <x:c r="D576" t="n">
        <x:v>1</x:v>
      </x:c>
      <x:c r="E576" t="n">
        <x:v>0</x:v>
      </x:c>
      <x:c r="F576" t="n">
        <x:v>0</x:v>
      </x:c>
      <x:c r="G576" s="10" t="n">
        <x:v>0</x:v>
      </x:c>
      <x:c r="H576" s="10" t="n">
        <x:v>0</x:v>
      </x:c>
      <x:c r="I576" t="n">
        <x:v>0</x:v>
      </x:c>
      <x:c r="J576" s="6" t="n">
        <x:v>0</x:v>
      </x:c>
    </x:row>
    <x:row r="577">
      <x:c r="A577" t="str">
        <x:v>245 85 16</x:v>
      </x:c>
      <x:c r="B577" t="str">
        <x:v>Medida</x:v>
      </x:c>
      <x:c r="C577" t="n">
        <x:v>2</x:v>
      </x:c>
      <x:c r="D577" t="n">
        <x:v>1</x:v>
      </x:c>
      <x:c r="E577" t="n">
        <x:v>0</x:v>
      </x:c>
      <x:c r="F577" t="n">
        <x:v>0</x:v>
      </x:c>
      <x:c r="G577" s="10" t="n">
        <x:v>0</x:v>
      </x:c>
      <x:c r="H577" s="10" t="n">
        <x:v>0</x:v>
      </x:c>
      <x:c r="I577" t="n">
        <x:v>0</x:v>
      </x:c>
      <x:c r="J577" s="6" t="n">
        <x:v>0</x:v>
      </x:c>
    </x:row>
    <x:row r="578">
      <x:c r="A578" t="str">
        <x:v>225 50</x:v>
      </x:c>
      <x:c r="B578" t="str">
        <x:v>Otro</x:v>
      </x:c>
      <x:c r="C578" t="n">
        <x:v>2</x:v>
      </x:c>
      <x:c r="D578" t="n">
        <x:v>2</x:v>
      </x:c>
      <x:c r="E578" t="n">
        <x:v>0</x:v>
      </x:c>
      <x:c r="F578" t="n">
        <x:v>0</x:v>
      </x:c>
      <x:c r="G578" s="10" t="n">
        <x:v>0</x:v>
      </x:c>
      <x:c r="H578" s="10" t="n">
        <x:v>0</x:v>
      </x:c>
      <x:c r="I578" t="n">
        <x:v>0</x:v>
      </x:c>
      <x:c r="J578" s="6" t="n">
        <x:v>0</x:v>
      </x:c>
    </x:row>
    <x:row r="579">
      <x:c r="A579" t="str">
        <x:v>185 65r15</x:v>
      </x:c>
      <x:c r="B579" t="str">
        <x:v>Otro</x:v>
      </x:c>
      <x:c r="C579" t="n">
        <x:v>2</x:v>
      </x:c>
      <x:c r="D579" t="n">
        <x:v>2</x:v>
      </x:c>
      <x:c r="E579" t="n">
        <x:v>0</x:v>
      </x:c>
      <x:c r="F579" t="n">
        <x:v>0</x:v>
      </x:c>
      <x:c r="G579" s="10" t="n">
        <x:v>0</x:v>
      </x:c>
      <x:c r="H579" s="10" t="n">
        <x:v>0</x:v>
      </x:c>
      <x:c r="I579" t="n">
        <x:v>0</x:v>
      </x:c>
      <x:c r="J579" s="6" t="n">
        <x:v>0</x:v>
      </x:c>
    </x:row>
    <x:row r="580">
      <x:c r="A580" t="str">
        <x:v>michelin anakee wild</x:v>
      </x:c>
      <x:c r="B580" t="str">
        <x:v>Otro</x:v>
      </x:c>
      <x:c r="C580" t="n">
        <x:v>2</x:v>
      </x:c>
      <x:c r="D580" t="n">
        <x:v>2</x:v>
      </x:c>
      <x:c r="E580" t="n">
        <x:v>0</x:v>
      </x:c>
      <x:c r="F580" t="n">
        <x:v>0</x:v>
      </x:c>
      <x:c r="G580" s="10" t="n">
        <x:v>0</x:v>
      </x:c>
      <x:c r="H580" s="10" t="n">
        <x:v>0</x:v>
      </x:c>
      <x:c r="I580" t="n">
        <x:v>0</x:v>
      </x:c>
      <x:c r="J580" s="6" t="n">
        <x:v>0</x:v>
      </x:c>
    </x:row>
    <x:row r="581">
      <x:c r="A581" t="str">
        <x:v>primacy 3</x:v>
      </x:c>
      <x:c r="B581" t="str">
        <x:v>Otro</x:v>
      </x:c>
      <x:c r="C581" t="n">
        <x:v>2</x:v>
      </x:c>
      <x:c r="D581" t="n">
        <x:v>2</x:v>
      </x:c>
      <x:c r="E581" t="n">
        <x:v>1</x:v>
      </x:c>
      <x:c r="F581" t="n">
        <x:v>1</x:v>
      </x:c>
      <x:c r="G581" s="10" t="n">
        <x:v>0.5</x:v>
      </x:c>
      <x:c r="H581" s="10" t="n">
        <x:v>0</x:v>
      </x:c>
      <x:c r="I581" t="n">
        <x:v>0</x:v>
      </x:c>
      <x:c r="J581" s="6" t="n">
        <x:v>0</x:v>
      </x:c>
    </x:row>
    <x:row r="582">
      <x:c r="A582" t="str">
        <x:v>295</x:v>
      </x:c>
      <x:c r="B582" t="str">
        <x:v>Otro</x:v>
      </x:c>
      <x:c r="C582" t="n">
        <x:v>2</x:v>
      </x:c>
      <x:c r="D582" t="n">
        <x:v>2</x:v>
      </x:c>
      <x:c r="E582" t="n">
        <x:v>0</x:v>
      </x:c>
      <x:c r="F582" t="n">
        <x:v>0</x:v>
      </x:c>
      <x:c r="G582" s="10" t="n">
        <x:v>0</x:v>
      </x:c>
      <x:c r="H582" s="10" t="n">
        <x:v>0</x:v>
      </x:c>
      <x:c r="I582" t="n">
        <x:v>0</x:v>
      </x:c>
      <x:c r="J582" s="6" t="n">
        <x:v>0</x:v>
      </x:c>
    </x:row>
    <x:row r="583">
      <x:c r="A583" t="str">
        <x:v>250</x:v>
      </x:c>
      <x:c r="B583" t="str">
        <x:v>Otro</x:v>
      </x:c>
      <x:c r="C583" t="n">
        <x:v>2</x:v>
      </x:c>
      <x:c r="D583" t="n">
        <x:v>2</x:v>
      </x:c>
      <x:c r="E583" t="n">
        <x:v>0</x:v>
      </x:c>
      <x:c r="F583" t="n">
        <x:v>0</x:v>
      </x:c>
      <x:c r="G583" s="10" t="n">
        <x:v>0</x:v>
      </x:c>
      <x:c r="H583" s="10" t="n">
        <x:v>0</x:v>
      </x:c>
      <x:c r="I583" t="n">
        <x:v>0</x:v>
      </x:c>
      <x:c r="J583" s="6" t="n">
        <x:v>0</x:v>
      </x:c>
    </x:row>
    <x:row r="584">
      <x:c r="A584" t="str">
        <x:v>MR-0089</x:v>
      </x:c>
      <x:c r="B584" t="str">
        <x:v>Otro</x:v>
      </x:c>
      <x:c r="C584" t="n">
        <x:v>2</x:v>
      </x:c>
      <x:c r="D584" t="n">
        <x:v>2</x:v>
      </x:c>
      <x:c r="E584" t="n">
        <x:v>0</x:v>
      </x:c>
      <x:c r="F584" t="n">
        <x:v>0</x:v>
      </x:c>
      <x:c r="G584" s="10" t="n">
        <x:v>0</x:v>
      </x:c>
      <x:c r="H584" s="10" t="n">
        <x:v>0</x:v>
      </x:c>
      <x:c r="I584" t="n">
        <x:v>0</x:v>
      </x:c>
      <x:c r="J584" s="6" t="n">
        <x:v>0</x:v>
      </x:c>
    </x:row>
    <x:row r="585">
      <x:c r="A585" t="str">
        <x:v>225 45 17 primacy 4+</x:v>
      </x:c>
      <x:c r="B585" t="str">
        <x:v>Medida</x:v>
      </x:c>
      <x:c r="C585" t="n">
        <x:v>2</x:v>
      </x:c>
      <x:c r="D585" t="n">
        <x:v>1</x:v>
      </x:c>
      <x:c r="E585" t="n">
        <x:v>0</x:v>
      </x:c>
      <x:c r="F585" t="n">
        <x:v>0</x:v>
      </x:c>
      <x:c r="G585" s="10" t="n">
        <x:v>0</x:v>
      </x:c>
      <x:c r="H585" s="10" t="n">
        <x:v>0</x:v>
      </x:c>
      <x:c r="I585" t="n">
        <x:v>0</x:v>
      </x:c>
      <x:c r="J585" s="6" t="n">
        <x:v>0</x:v>
      </x:c>
    </x:row>
    <x:row r="586">
      <x:c r="A586" t="str">
        <x:v>275-45-r20-triangle-th201-110-y</x:v>
      </x:c>
      <x:c r="B586" t="str">
        <x:v>Producto / URL</x:v>
      </x:c>
      <x:c r="C586" t="n">
        <x:v>2</x:v>
      </x:c>
      <x:c r="D586" t="n">
        <x:v>2</x:v>
      </x:c>
      <x:c r="E586" t="n">
        <x:v>0</x:v>
      </x:c>
      <x:c r="F586" t="n">
        <x:v>0</x:v>
      </x:c>
      <x:c r="G586" s="10" t="n">
        <x:v>0</x:v>
      </x:c>
      <x:c r="H586" s="10" t="n">
        <x:v>0</x:v>
      </x:c>
      <x:c r="I586" t="n">
        <x:v>0</x:v>
      </x:c>
      <x:c r="J586" s="6" t="n">
        <x:v>0</x:v>
      </x:c>
    </x:row>
    <x:row r="587">
      <x:c r="A587" t="str">
        <x:v>22183</x:v>
      </x:c>
      <x:c r="B587" t="str">
        <x:v>Otro</x:v>
      </x:c>
      <x:c r="C587" t="n">
        <x:v>2</x:v>
      </x:c>
      <x:c r="D587" t="n">
        <x:v>2</x:v>
      </x:c>
      <x:c r="E587" t="n">
        <x:v>6</x:v>
      </x:c>
      <x:c r="F587" t="n">
        <x:v>1</x:v>
      </x:c>
      <x:c r="G587" s="10" t="n">
        <x:v>3</x:v>
      </x:c>
      <x:c r="H587" s="10" t="n">
        <x:v>0</x:v>
      </x:c>
      <x:c r="I587" t="n">
        <x:v>0</x:v>
      </x:c>
      <x:c r="J587" s="6" t="n">
        <x:v>0</x:v>
      </x:c>
    </x:row>
    <x:row r="588">
      <x:c r="A588" t="str">
        <x:v>amarok</x:v>
      </x:c>
      <x:c r="B588" t="str">
        <x:v>Otro</x:v>
      </x:c>
      <x:c r="C588" t="n">
        <x:v>2</x:v>
      </x:c>
      <x:c r="D588" t="n">
        <x:v>2</x:v>
      </x:c>
      <x:c r="E588" t="n">
        <x:v>0</x:v>
      </x:c>
      <x:c r="F588" t="n">
        <x:v>0</x:v>
      </x:c>
      <x:c r="G588" s="10" t="n">
        <x:v>0</x:v>
      </x:c>
      <x:c r="H588" s="10" t="n">
        <x:v>0</x:v>
      </x:c>
      <x:c r="I588" t="n">
        <x:v>0</x:v>
      </x:c>
      <x:c r="J588" s="6" t="n">
        <x:v>0</x:v>
      </x:c>
    </x:row>
    <x:row r="589">
      <x:c r="A589" t="str">
        <x:v>anakee 110</x:v>
      </x:c>
      <x:c r="B589" t="str">
        <x:v>Otro</x:v>
      </x:c>
      <x:c r="C589" t="n">
        <x:v>2</x:v>
      </x:c>
      <x:c r="D589" t="n">
        <x:v>2</x:v>
      </x:c>
      <x:c r="E589" t="n">
        <x:v>0</x:v>
      </x:c>
      <x:c r="F589" t="n">
        <x:v>0</x:v>
      </x:c>
      <x:c r="G589" s="10" t="n">
        <x:v>0</x:v>
      </x:c>
      <x:c r="H589" s="10" t="n">
        <x:v>0</x:v>
      </x:c>
      <x:c r="I589" t="n">
        <x:v>0</x:v>
      </x:c>
      <x:c r="J589" s="6" t="n">
        <x:v>0</x:v>
      </x:c>
    </x:row>
    <x:row r="590">
      <x:c r="A590" t="str">
        <x:v>neumático yokohama geolandar</x:v>
      </x:c>
      <x:c r="B590" t="str">
        <x:v>Otro</x:v>
      </x:c>
      <x:c r="C590" t="n">
        <x:v>2</x:v>
      </x:c>
      <x:c r="D590" t="n">
        <x:v>1</x:v>
      </x:c>
      <x:c r="E590" t="n">
        <x:v>0</x:v>
      </x:c>
      <x:c r="F590" t="n">
        <x:v>0</x:v>
      </x:c>
      <x:c r="G590" s="10" t="n">
        <x:v>0</x:v>
      </x:c>
      <x:c r="H590" s="10" t="n">
        <x:v>0</x:v>
      </x:c>
      <x:c r="I590" t="n">
        <x:v>0</x:v>
      </x:c>
      <x:c r="J590" s="6" t="n">
        <x:v>0</x:v>
      </x:c>
    </x:row>
    <x:row r="591">
      <x:c r="A591" t="str">
        <x:v>ltx trail</x:v>
      </x:c>
      <x:c r="B591" t="str">
        <x:v>Otro</x:v>
      </x:c>
      <x:c r="C591" t="n">
        <x:v>2</x:v>
      </x:c>
      <x:c r="D591" t="n">
        <x:v>2</x:v>
      </x:c>
      <x:c r="E591" t="n">
        <x:v>2</x:v>
      </x:c>
      <x:c r="F591" t="n">
        <x:v>2</x:v>
      </x:c>
      <x:c r="G591" s="10" t="n">
        <x:v>1</x:v>
      </x:c>
      <x:c r="H591" s="10" t="n">
        <x:v>0</x:v>
      </x:c>
      <x:c r="I591" t="n">
        <x:v>0</x:v>
      </x:c>
      <x:c r="J591" s="6" t="n">
        <x:v>0</x:v>
      </x:c>
    </x:row>
    <x:row r="592">
      <x:c r="A592" t="str">
        <x:v>goodrich 1955516</x:v>
      </x:c>
      <x:c r="B592" t="str">
        <x:v>Otro</x:v>
      </x:c>
      <x:c r="C592" t="n">
        <x:v>2</x:v>
      </x:c>
      <x:c r="D592" t="n">
        <x:v>2</x:v>
      </x:c>
      <x:c r="E592" t="n">
        <x:v>0</x:v>
      </x:c>
      <x:c r="F592" t="n">
        <x:v>0</x:v>
      </x:c>
      <x:c r="G592" s="10" t="n">
        <x:v>0</x:v>
      </x:c>
      <x:c r="H592" s="10" t="n">
        <x:v>0</x:v>
      </x:c>
      <x:c r="I592" t="n">
        <x:v>0</x:v>
      </x:c>
      <x:c r="J592" s="6" t="n">
        <x:v>0</x:v>
      </x:c>
    </x:row>
    <x:row r="593">
      <x:c r="A593" t="str">
        <x:v>205 55 rf 16</x:v>
      </x:c>
      <x:c r="B593" t="str">
        <x:v>Otro</x:v>
      </x:c>
      <x:c r="C593" t="n">
        <x:v>2</x:v>
      </x:c>
      <x:c r="D593" t="n">
        <x:v>1</x:v>
      </x:c>
      <x:c r="E593" t="n">
        <x:v>1</x:v>
      </x:c>
      <x:c r="F593" t="n">
        <x:v>1</x:v>
      </x:c>
      <x:c r="G593" s="10" t="n">
        <x:v>0.5</x:v>
      </x:c>
      <x:c r="H593" s="10" t="n">
        <x:v>0</x:v>
      </x:c>
      <x:c r="I593" t="n">
        <x:v>0</x:v>
      </x:c>
      <x:c r="J593" s="6" t="n">
        <x:v>0</x:v>
      </x:c>
    </x:row>
    <x:row r="594">
      <x:c r="A594" t="str">
        <x:v>185 70 r14</x:v>
      </x:c>
      <x:c r="B594" t="str">
        <x:v>Medida</x:v>
      </x:c>
      <x:c r="C594" t="n">
        <x:v>2</x:v>
      </x:c>
      <x:c r="D594" t="n">
        <x:v>2</x:v>
      </x:c>
      <x:c r="E594" t="n">
        <x:v>2</x:v>
      </x:c>
      <x:c r="F594" t="n">
        <x:v>1</x:v>
      </x:c>
      <x:c r="G594" s="10" t="n">
        <x:v>1</x:v>
      </x:c>
      <x:c r="H594" s="10" t="n">
        <x:v>0</x:v>
      </x:c>
      <x:c r="I594" t="n">
        <x:v>0</x:v>
      </x:c>
      <x:c r="J594" s="6" t="n">
        <x:v>0</x:v>
      </x:c>
    </x:row>
    <x:row r="595">
      <x:c r="A595" t="str">
        <x:v>255 50 r19</x:v>
      </x:c>
      <x:c r="B595" t="str">
        <x:v>Medida</x:v>
      </x:c>
      <x:c r="C595" t="n">
        <x:v>2</x:v>
      </x:c>
      <x:c r="D595" t="n">
        <x:v>1</x:v>
      </x:c>
      <x:c r="E595" t="n">
        <x:v>0</x:v>
      </x:c>
      <x:c r="F595" t="n">
        <x:v>0</x:v>
      </x:c>
      <x:c r="G595" s="10" t="n">
        <x:v>0</x:v>
      </x:c>
      <x:c r="H595" s="10" t="n">
        <x:v>0</x:v>
      </x:c>
      <x:c r="I595" t="n">
        <x:v>0</x:v>
      </x:c>
      <x:c r="J595" s="6" t="n">
        <x:v>0</x:v>
      </x:c>
    </x:row>
    <x:row r="596">
      <x:c r="A596" t="str">
        <x:v>750 x 16</x:v>
      </x:c>
      <x:c r="B596" t="str">
        <x:v>Otro</x:v>
      </x:c>
      <x:c r="C596" t="n">
        <x:v>2</x:v>
      </x:c>
      <x:c r="D596" t="n">
        <x:v>2</x:v>
      </x:c>
      <x:c r="E596" t="n">
        <x:v>0</x:v>
      </x:c>
      <x:c r="F596" t="n">
        <x:v>0</x:v>
      </x:c>
      <x:c r="G596" s="10" t="n">
        <x:v>0</x:v>
      </x:c>
      <x:c r="H596" s="10" t="n">
        <x:v>0</x:v>
      </x:c>
      <x:c r="I596" t="n">
        <x:v>0</x:v>
      </x:c>
      <x:c r="J596" s="6" t="n">
        <x:v>0</x:v>
      </x:c>
    </x:row>
    <x:row r="597">
      <x:c r="A597" t="str">
        <x:v>r13 175 70</x:v>
      </x:c>
      <x:c r="B597" t="str">
        <x:v>Otro</x:v>
      </x:c>
      <x:c r="C597" t="n">
        <x:v>2</x:v>
      </x:c>
      <x:c r="D597" t="n">
        <x:v>2</x:v>
      </x:c>
      <x:c r="E597" t="n">
        <x:v>0</x:v>
      </x:c>
      <x:c r="F597" t="n">
        <x:v>0</x:v>
      </x:c>
      <x:c r="G597" s="10" t="n">
        <x:v>0</x:v>
      </x:c>
      <x:c r="H597" s="10" t="n">
        <x:v>0</x:v>
      </x:c>
      <x:c r="I597" t="n">
        <x:v>0</x:v>
      </x:c>
      <x:c r="J597" s="6" t="n">
        <x:v>0</x:v>
      </x:c>
    </x:row>
    <x:row r="598">
      <x:c r="A598" t="str">
        <x:v>nfera ru</x:v>
      </x:c>
      <x:c r="B598" t="str">
        <x:v>Otro</x:v>
      </x:c>
      <x:c r="C598" t="n">
        <x:v>2</x:v>
      </x:c>
      <x:c r="D598" t="n">
        <x:v>2</x:v>
      </x:c>
      <x:c r="E598" t="n">
        <x:v>0</x:v>
      </x:c>
      <x:c r="F598" t="n">
        <x:v>0</x:v>
      </x:c>
      <x:c r="G598" s="10" t="n">
        <x:v>0</x:v>
      </x:c>
      <x:c r="H598" s="10" t="n">
        <x:v>0</x:v>
      </x:c>
      <x:c r="I598" t="n">
        <x:v>0</x:v>
      </x:c>
      <x:c r="J598" s="6" t="n">
        <x:v>0</x:v>
      </x:c>
    </x:row>
    <x:row r="599">
      <x:c r="A599" t="str">
        <x:v>cristian hernandez</x:v>
      </x:c>
      <x:c r="B599" t="str">
        <x:v>Otro</x:v>
      </x:c>
      <x:c r="C599" t="n">
        <x:v>2</x:v>
      </x:c>
      <x:c r="D599" t="n">
        <x:v>2</x:v>
      </x:c>
      <x:c r="E599" t="n">
        <x:v>0</x:v>
      </x:c>
      <x:c r="F599" t="n">
        <x:v>0</x:v>
      </x:c>
      <x:c r="G599" s="10" t="n">
        <x:v>0</x:v>
      </x:c>
      <x:c r="H599" s="10" t="n">
        <x:v>0</x:v>
      </x:c>
      <x:c r="I599" t="n">
        <x:v>0</x:v>
      </x:c>
      <x:c r="J599" s="6" t="n">
        <x:v>0</x:v>
      </x:c>
    </x:row>
    <x:row r="600">
      <x:c r="A600" t="str">
        <x:v>michelin 245 35 r19</x:v>
      </x:c>
      <x:c r="B600" t="str">
        <x:v>Medida</x:v>
      </x:c>
      <x:c r="C600" t="n">
        <x:v>2</x:v>
      </x:c>
      <x:c r="D600" t="n">
        <x:v>2</x:v>
      </x:c>
      <x:c r="E600" t="n">
        <x:v>0</x:v>
      </x:c>
      <x:c r="F600" t="n">
        <x:v>0</x:v>
      </x:c>
      <x:c r="G600" s="10" t="n">
        <x:v>0</x:v>
      </x:c>
      <x:c r="H600" s="10" t="n">
        <x:v>0</x:v>
      </x:c>
      <x:c r="I600" t="n">
        <x:v>0</x:v>
      </x:c>
      <x:c r="J600" s="6" t="n">
        <x:v>0</x:v>
      </x:c>
    </x:row>
    <x:row r="601">
      <x:c r="A601" t="str">
        <x:v>05 00 r15</x:v>
      </x:c>
      <x:c r="B601" t="str">
        <x:v>Otro</x:v>
      </x:c>
      <x:c r="C601" t="n">
        <x:v>2</x:v>
      </x:c>
      <x:c r="D601" t="n">
        <x:v>2</x:v>
      </x:c>
      <x:c r="E601" t="n">
        <x:v>0</x:v>
      </x:c>
      <x:c r="F601" t="n">
        <x:v>0</x:v>
      </x:c>
      <x:c r="G601" s="10" t="n">
        <x:v>0</x:v>
      </x:c>
      <x:c r="H601" s="10" t="n">
        <x:v>0</x:v>
      </x:c>
      <x:c r="I601" t="n">
        <x:v>0</x:v>
      </x:c>
      <x:c r="J601" s="6" t="n">
        <x:v>0</x:v>
      </x:c>
    </x:row>
    <x:row r="602">
      <x:c r="A602" t="str">
        <x:v>185 65 15 michelin</x:v>
      </x:c>
      <x:c r="B602" t="str">
        <x:v>Medida</x:v>
      </x:c>
      <x:c r="C602" t="n">
        <x:v>2</x:v>
      </x:c>
      <x:c r="D602" t="n">
        <x:v>2</x:v>
      </x:c>
      <x:c r="E602" t="n">
        <x:v>0</x:v>
      </x:c>
      <x:c r="F602" t="n">
        <x:v>0</x:v>
      </x:c>
      <x:c r="G602" s="10" t="n">
        <x:v>0</x:v>
      </x:c>
      <x:c r="H602" s="10" t="n">
        <x:v>0</x:v>
      </x:c>
      <x:c r="I602" t="n">
        <x:v>0</x:v>
      </x:c>
      <x:c r="J602" s="6" t="n">
        <x:v>0</x:v>
      </x:c>
    </x:row>
    <x:row r="603">
      <x:c r="A603" t="str">
        <x:v>325</x:v>
      </x:c>
      <x:c r="B603" t="str">
        <x:v>Otro</x:v>
      </x:c>
      <x:c r="C603" t="n">
        <x:v>2</x:v>
      </x:c>
      <x:c r="D603" t="n">
        <x:v>2</x:v>
      </x:c>
      <x:c r="E603" t="n">
        <x:v>0</x:v>
      </x:c>
      <x:c r="F603" t="n">
        <x:v>0</x:v>
      </x:c>
      <x:c r="G603" s="10" t="n">
        <x:v>0</x:v>
      </x:c>
      <x:c r="H603" s="10" t="n">
        <x:v>0</x:v>
      </x:c>
      <x:c r="I603" t="n">
        <x:v>0</x:v>
      </x:c>
      <x:c r="J603" s="6" t="n">
        <x:v>0</x:v>
      </x:c>
    </x:row>
    <x:row r="604">
      <x:c r="A604" t="str">
        <x:v>275 70 18 goodrich</x:v>
      </x:c>
      <x:c r="B604" t="str">
        <x:v>Medida</x:v>
      </x:c>
      <x:c r="C604" t="n">
        <x:v>2</x:v>
      </x:c>
      <x:c r="D604" t="n">
        <x:v>2</x:v>
      </x:c>
      <x:c r="E604" t="n">
        <x:v>0</x:v>
      </x:c>
      <x:c r="F604" t="n">
        <x:v>0</x:v>
      </x:c>
      <x:c r="G604" s="10" t="n">
        <x:v>0</x:v>
      </x:c>
      <x:c r="H604" s="10" t="n">
        <x:v>0</x:v>
      </x:c>
      <x:c r="I604" t="n">
        <x:v>0</x:v>
      </x:c>
      <x:c r="J604" s="6" t="n">
        <x:v>0</x:v>
      </x:c>
    </x:row>
    <x:row r="605">
      <x:c r="A605" t="str">
        <x:v>235 65 16</x:v>
      </x:c>
      <x:c r="B605" t="str">
        <x:v>Medida</x:v>
      </x:c>
      <x:c r="C605" t="n">
        <x:v>2</x:v>
      </x:c>
      <x:c r="D605" t="n">
        <x:v>1</x:v>
      </x:c>
      <x:c r="E605" t="n">
        <x:v>1</x:v>
      </x:c>
      <x:c r="F605" t="n">
        <x:v>1</x:v>
      </x:c>
      <x:c r="G605" s="10" t="n">
        <x:v>0.5</x:v>
      </x:c>
      <x:c r="H605" s="10" t="n">
        <x:v>0</x:v>
      </x:c>
      <x:c r="I605" t="n">
        <x:v>0</x:v>
      </x:c>
      <x:c r="J605" s="6" t="n">
        <x:v>0</x:v>
      </x:c>
    </x:row>
    <x:row r="606">
      <x:c r="A606" t="str">
        <x:v>90-90-21-m-c-54v-michelin-anakee-adventure-f-1</x:v>
      </x:c>
      <x:c r="B606" t="str">
        <x:v>Otro</x:v>
      </x:c>
      <x:c r="C606" t="n">
        <x:v>2</x:v>
      </x:c>
      <x:c r="D606" t="n">
        <x:v>2</x:v>
      </x:c>
      <x:c r="E606" t="n">
        <x:v>0</x:v>
      </x:c>
      <x:c r="F606" t="n">
        <x:v>0</x:v>
      </x:c>
      <x:c r="G606" s="10" t="n">
        <x:v>0</x:v>
      </x:c>
      <x:c r="H606" s="10" t="n">
        <x:v>0</x:v>
      </x:c>
      <x:c r="I606" t="n">
        <x:v>0</x:v>
      </x:c>
      <x:c r="J606" s="6" t="n">
        <x:v>0</x:v>
      </x:c>
    </x:row>
    <x:row r="607">
      <x:c r="A607" t="str">
        <x:v>225 70 17</x:v>
      </x:c>
      <x:c r="B607" t="str">
        <x:v>Medida</x:v>
      </x:c>
      <x:c r="C607" t="n">
        <x:v>2</x:v>
      </x:c>
      <x:c r="D607" t="n">
        <x:v>1</x:v>
      </x:c>
      <x:c r="E607" t="n">
        <x:v>1</x:v>
      </x:c>
      <x:c r="F607" t="n">
        <x:v>1</x:v>
      </x:c>
      <x:c r="G607" s="10" t="n">
        <x:v>0.5</x:v>
      </x:c>
      <x:c r="H607" s="10" t="n">
        <x:v>0</x:v>
      </x:c>
      <x:c r="I607" t="n">
        <x:v>0</x:v>
      </x:c>
      <x:c r="J607" s="6" t="n">
        <x:v>0</x:v>
      </x:c>
    </x:row>
    <x:row r="608">
      <x:c r="A608" t="str">
        <x:v>265 60 r17</x:v>
      </x:c>
      <x:c r="B608" t="str">
        <x:v>Medida</x:v>
      </x:c>
      <x:c r="C608" t="n">
        <x:v>2</x:v>
      </x:c>
      <x:c r="D608" t="n">
        <x:v>2</x:v>
      </x:c>
      <x:c r="E608" t="n">
        <x:v>0</x:v>
      </x:c>
      <x:c r="F608" t="n">
        <x:v>0</x:v>
      </x:c>
      <x:c r="G608" s="10" t="n">
        <x:v>0</x:v>
      </x:c>
      <x:c r="H608" s="10" t="n">
        <x:v>0</x:v>
      </x:c>
      <x:c r="I608" t="n">
        <x:v>0</x:v>
      </x:c>
      <x:c r="J608" s="6" t="n">
        <x:v>0</x:v>
      </x:c>
    </x:row>
    <x:row r="609">
      <x:c r="A609" t="str">
        <x:v>120 80 18</x:v>
      </x:c>
      <x:c r="B609" t="str">
        <x:v>Medida</x:v>
      </x:c>
      <x:c r="C609" t="n">
        <x:v>2</x:v>
      </x:c>
      <x:c r="D609" t="n">
        <x:v>2</x:v>
      </x:c>
      <x:c r="E609" t="n">
        <x:v>0</x:v>
      </x:c>
      <x:c r="F609" t="n">
        <x:v>0</x:v>
      </x:c>
      <x:c r="G609" s="10" t="n">
        <x:v>0</x:v>
      </x:c>
      <x:c r="H609" s="10" t="n">
        <x:v>0</x:v>
      </x:c>
      <x:c r="I609" t="n">
        <x:v>0</x:v>
      </x:c>
      <x:c r="J609" s="6" t="n">
        <x:v>0</x:v>
      </x:c>
    </x:row>
    <x:row r="610">
      <x:c r="A610" t="str">
        <x:v>225-50-r18-michelin-primacy-3-st-run-flat-bmw-95w</x:v>
      </x:c>
      <x:c r="B610" t="str">
        <x:v>Producto / URL</x:v>
      </x:c>
      <x:c r="C610" t="n">
        <x:v>2</x:v>
      </x:c>
      <x:c r="D610" t="n">
        <x:v>2</x:v>
      </x:c>
      <x:c r="E610" t="n">
        <x:v>0</x:v>
      </x:c>
      <x:c r="F610" t="n">
        <x:v>0</x:v>
      </x:c>
      <x:c r="G610" s="10" t="n">
        <x:v>0</x:v>
      </x:c>
      <x:c r="H610" s="10" t="n">
        <x:v>0</x:v>
      </x:c>
      <x:c r="I610" t="n">
        <x:v>0</x:v>
      </x:c>
      <x:c r="J610" s="6" t="n">
        <x:v>0</x:v>
      </x:c>
    </x:row>
    <x:row r="611">
      <x:c r="A611" t="str">
        <x:v>mr-31x2</x:v>
      </x:c>
      <x:c r="B611" t="str">
        <x:v>Otro</x:v>
      </x:c>
      <x:c r="C611" t="n">
        <x:v>1</x:v>
      </x:c>
      <x:c r="D611" t="n">
        <x:v>1</x:v>
      </x:c>
      <x:c r="E611" t="n">
        <x:v>1</x:v>
      </x:c>
      <x:c r="F611" t="n">
        <x:v>1</x:v>
      </x:c>
      <x:c r="G611" s="10" t="n">
        <x:v>1</x:v>
      </x:c>
      <x:c r="H611" s="10" t="n">
        <x:v>0</x:v>
      </x:c>
      <x:c r="I611" t="n">
        <x:v>0</x:v>
      </x:c>
      <x:c r="J611" s="6" t="n">
        <x:v>0</x:v>
      </x:c>
    </x:row>
    <x:row r="612">
      <x:c r="A612" t="str">
        <x:v>235 40 18</x:v>
      </x:c>
      <x:c r="B612" t="str">
        <x:v>Medida</x:v>
      </x:c>
      <x:c r="C612" t="n">
        <x:v>1</x:v>
      </x:c>
      <x:c r="D612" t="n">
        <x:v>1</x:v>
      </x:c>
      <x:c r="E612" t="n">
        <x:v>0</x:v>
      </x:c>
      <x:c r="F612" t="n">
        <x:v>0</x:v>
      </x:c>
      <x:c r="G612" s="10" t="n">
        <x:v>0</x:v>
      </x:c>
      <x:c r="H612" s="10" t="n">
        <x:v>0</x:v>
      </x:c>
      <x:c r="I612" t="n">
        <x:v>0</x:v>
      </x:c>
      <x:c r="J612" s="6" t="n">
        <x:v>0</x:v>
      </x:c>
    </x:row>
    <x:row r="613">
      <x:c r="A613" t="str">
        <x:v>neumáticos 195</x:v>
      </x:c>
      <x:c r="B613" t="str">
        <x:v>Otro</x:v>
      </x:c>
      <x:c r="C613" t="n">
        <x:v>1</x:v>
      </x:c>
      <x:c r="D613" t="n">
        <x:v>1</x:v>
      </x:c>
      <x:c r="E613" t="n">
        <x:v>0</x:v>
      </x:c>
      <x:c r="F613" t="n">
        <x:v>0</x:v>
      </x:c>
      <x:c r="G613" s="10" t="n">
        <x:v>0</x:v>
      </x:c>
      <x:c r="H613" s="10" t="n">
        <x:v>0</x:v>
      </x:c>
      <x:c r="I613" t="n">
        <x:v>0</x:v>
      </x:c>
      <x:c r="J613" s="6" t="n">
        <x:v>0</x:v>
      </x:c>
    </x:row>
    <x:row r="614">
      <x:c r="A614" t="str">
        <x:v>como-llegar</x:v>
      </x:c>
      <x:c r="B614" t="str">
        <x:v>Otro</x:v>
      </x:c>
      <x:c r="C614" t="n">
        <x:v>1</x:v>
      </x:c>
      <x:c r="D614" t="n">
        <x:v>1</x:v>
      </x:c>
      <x:c r="E614" t="n">
        <x:v>0</x:v>
      </x:c>
      <x:c r="F614" t="n">
        <x:v>0</x:v>
      </x:c>
      <x:c r="G614" s="10" t="n">
        <x:v>0</x:v>
      </x:c>
      <x:c r="H614" s="10" t="n">
        <x:v>0</x:v>
      </x:c>
      <x:c r="I614" t="n">
        <x:v>0</x:v>
      </x:c>
      <x:c r="J614" s="6" t="n">
        <x:v>0</x:v>
      </x:c>
    </x:row>
    <x:row r="615">
      <x:c r="A615" t="str">
        <x:v>225x60x18</x:v>
      </x:c>
      <x:c r="B615" t="str">
        <x:v>Otro</x:v>
      </x:c>
      <x:c r="C615" t="n">
        <x:v>1</x:v>
      </x:c>
      <x:c r="D615" t="n">
        <x:v>1</x:v>
      </x:c>
      <x:c r="E615" t="n">
        <x:v>0</x:v>
      </x:c>
      <x:c r="F615" t="n">
        <x:v>0</x:v>
      </x:c>
      <x:c r="G615" s="10" t="n">
        <x:v>0</x:v>
      </x:c>
      <x:c r="H615" s="10" t="n">
        <x:v>0</x:v>
      </x:c>
      <x:c r="I615" t="n">
        <x:v>0</x:v>
      </x:c>
      <x:c r="J615" s="6" t="n">
        <x:v>0</x:v>
      </x:c>
    </x:row>
    <x:row r="616">
      <x:c r="A616" t="str">
        <x:v>otras-marcas</x:v>
      </x:c>
      <x:c r="B616" t="str">
        <x:v>Otro</x:v>
      </x:c>
      <x:c r="C616" t="n">
        <x:v>1</x:v>
      </x:c>
      <x:c r="D616" t="n">
        <x:v>1</x:v>
      </x:c>
      <x:c r="E616" t="n">
        <x:v>0</x:v>
      </x:c>
      <x:c r="F616" t="n">
        <x:v>0</x:v>
      </x:c>
      <x:c r="G616" s="10" t="n">
        <x:v>0</x:v>
      </x:c>
      <x:c r="H616" s="10" t="n">
        <x:v>0</x:v>
      </x:c>
      <x:c r="I616" t="n">
        <x:v>0</x:v>
      </x:c>
      <x:c r="J616" s="6" t="n">
        <x:v>0</x:v>
      </x:c>
    </x:row>
    <x:row r="617">
      <x:c r="A617" t="str">
        <x:v>225-45-r18-yokohama-bluearth-ae51-95w</x:v>
      </x:c>
      <x:c r="B617" t="str">
        <x:v>Producto / URL</x:v>
      </x:c>
      <x:c r="C617" t="n">
        <x:v>1</x:v>
      </x:c>
      <x:c r="D617" t="n">
        <x:v>1</x:v>
      </x:c>
      <x:c r="E617" t="n">
        <x:v>0</x:v>
      </x:c>
      <x:c r="F617" t="n">
        <x:v>0</x:v>
      </x:c>
      <x:c r="G617" s="10" t="n">
        <x:v>0</x:v>
      </x:c>
      <x:c r="H617" s="10" t="n">
        <x:v>0</x:v>
      </x:c>
      <x:c r="I617" t="n">
        <x:v>0</x:v>
      </x:c>
      <x:c r="J617" s="6" t="n">
        <x:v>0</x:v>
      </x:c>
    </x:row>
    <x:row r="618">
      <x:c r="A618" t="str">
        <x:v>195-55-r16-kumho-ecsta-hs52-87-v</x:v>
      </x:c>
      <x:c r="B618" t="str">
        <x:v>Producto / URL</x:v>
      </x:c>
      <x:c r="C618" t="n">
        <x:v>1</x:v>
      </x:c>
      <x:c r="D618" t="n">
        <x:v>1</x:v>
      </x:c>
      <x:c r="E618" t="n">
        <x:v>0</x:v>
      </x:c>
      <x:c r="F618" t="n">
        <x:v>0</x:v>
      </x:c>
      <x:c r="G618" s="10" t="n">
        <x:v>0</x:v>
      </x:c>
      <x:c r="H618" s="10" t="n">
        <x:v>0</x:v>
      </x:c>
      <x:c r="I618" t="n">
        <x:v>0</x:v>
      </x:c>
      <x:c r="J618" s="6" t="n">
        <x:v>0</x:v>
      </x:c>
    </x:row>
    <x:row r="619">
      <x:c r="A619" t="str">
        <x:v>255 65 r17</x:v>
      </x:c>
      <x:c r="B619" t="str">
        <x:v>Medida</x:v>
      </x:c>
      <x:c r="C619" t="n">
        <x:v>1</x:v>
      </x:c>
      <x:c r="D619" t="n">
        <x:v>1</x:v>
      </x:c>
      <x:c r="E619" t="n">
        <x:v>0</x:v>
      </x:c>
      <x:c r="F619" t="n">
        <x:v>0</x:v>
      </x:c>
      <x:c r="G619" s="10" t="n">
        <x:v>0</x:v>
      </x:c>
      <x:c r="H619" s="10" t="n">
        <x:v>0</x:v>
      </x:c>
      <x:c r="I619" t="n">
        <x:v>0</x:v>
      </x:c>
      <x:c r="J619" s="6" t="n">
        <x:v>0</x:v>
      </x:c>
    </x:row>
    <x:row r="620">
      <x:c r="A620" t="str">
        <x:v>R16</x:v>
      </x:c>
      <x:c r="B620" t="str">
        <x:v>Otro</x:v>
      </x:c>
      <x:c r="C620" t="n">
        <x:v>1</x:v>
      </x:c>
      <x:c r="D620" t="n">
        <x:v>1</x:v>
      </x:c>
      <x:c r="E620" t="n">
        <x:v>0</x:v>
      </x:c>
      <x:c r="F620" t="n">
        <x:v>0</x:v>
      </x:c>
      <x:c r="G620" s="10" t="n">
        <x:v>0</x:v>
      </x:c>
      <x:c r="H620" s="10" t="n">
        <x:v>0</x:v>
      </x:c>
      <x:c r="I620" t="n">
        <x:v>0</x:v>
      </x:c>
      <x:c r="J620" s="6" t="n">
        <x:v>0</x:v>
      </x:c>
    </x:row>
    <x:row r="621">
      <x:c r="A621" t="str">
        <x:v>275-35-rf21-michelin-pilot-super-sport-run-flat-99y</x:v>
      </x:c>
      <x:c r="B621" t="str">
        <x:v>Otro</x:v>
      </x:c>
      <x:c r="C621" t="n">
        <x:v>1</x:v>
      </x:c>
      <x:c r="D621" t="n">
        <x:v>1</x:v>
      </x:c>
      <x:c r="E621" t="n">
        <x:v>0</x:v>
      </x:c>
      <x:c r="F621" t="n">
        <x:v>0</x:v>
      </x:c>
      <x:c r="G621" s="10" t="n">
        <x:v>0</x:v>
      </x:c>
      <x:c r="H621" s="10" t="n">
        <x:v>0</x:v>
      </x:c>
      <x:c r="I621" t="n">
        <x:v>0</x:v>
      </x:c>
      <x:c r="J621" s="6" t="n">
        <x:v>0</x:v>
      </x:c>
    </x:row>
    <x:row r="622">
      <x:c r="A622" t="str">
        <x:v>175 70 13</x:v>
      </x:c>
      <x:c r="B622" t="str">
        <x:v>Medida</x:v>
      </x:c>
      <x:c r="C622" t="n">
        <x:v>1</x:v>
      </x:c>
      <x:c r="D622" t="n">
        <x:v>1</x:v>
      </x:c>
      <x:c r="E622" t="n">
        <x:v>0</x:v>
      </x:c>
      <x:c r="F622" t="n">
        <x:v>0</x:v>
      </x:c>
      <x:c r="G622" s="10" t="n">
        <x:v>0</x:v>
      </x:c>
      <x:c r="H622" s="10" t="n">
        <x:v>0</x:v>
      </x:c>
      <x:c r="I622" t="n">
        <x:v>0</x:v>
      </x:c>
      <x:c r="J622" s="6" t="n">
        <x:v>0</x:v>
      </x:c>
    </x:row>
    <x:row r="623">
      <x:c r="A623" t="str">
        <x:v>camara 350x10</x:v>
      </x:c>
      <x:c r="B623" t="str">
        <x:v>Otro</x:v>
      </x:c>
      <x:c r="C623" t="n">
        <x:v>1</x:v>
      </x:c>
      <x:c r="D623" t="n">
        <x:v>1</x:v>
      </x:c>
      <x:c r="E623" t="n">
        <x:v>0</x:v>
      </x:c>
      <x:c r="F623" t="n">
        <x:v>0</x:v>
      </x:c>
      <x:c r="G623" s="10" t="n">
        <x:v>0</x:v>
      </x:c>
      <x:c r="H623" s="10" t="n">
        <x:v>0</x:v>
      </x:c>
      <x:c r="I623" t="n">
        <x:v>0</x:v>
      </x:c>
      <x:c r="J623" s="6" t="n">
        <x:v>0</x:v>
      </x:c>
    </x:row>
    <x:row r="624">
      <x:c r="A624" t="str">
        <x:v>lubricentro</x:v>
      </x:c>
      <x:c r="B624" t="str">
        <x:v>Otro</x:v>
      </x:c>
      <x:c r="C624" t="n">
        <x:v>1</x:v>
      </x:c>
      <x:c r="D624" t="n">
        <x:v>1</x:v>
      </x:c>
      <x:c r="E624" t="n">
        <x:v>0</x:v>
      </x:c>
      <x:c r="F624" t="n">
        <x:v>0</x:v>
      </x:c>
      <x:c r="G624" s="10" t="n">
        <x:v>0</x:v>
      </x:c>
      <x:c r="H624" s="10" t="n">
        <x:v>0</x:v>
      </x:c>
      <x:c r="I624" t="n">
        <x:v>0</x:v>
      </x:c>
      <x:c r="J624" s="6" t="n">
        <x:v>0</x:v>
      </x:c>
    </x:row>
    <x:row r="625">
      <x:c r="A625" t="str">
        <x:v>205 55 16 ran flat</x:v>
      </x:c>
      <x:c r="B625" t="str">
        <x:v>Medida</x:v>
      </x:c>
      <x:c r="C625" t="n">
        <x:v>1</x:v>
      </x:c>
      <x:c r="D625" t="n">
        <x:v>1</x:v>
      </x:c>
      <x:c r="E625" t="n">
        <x:v>0</x:v>
      </x:c>
      <x:c r="F625" t="n">
        <x:v>0</x:v>
      </x:c>
      <x:c r="G625" s="10" t="n">
        <x:v>0</x:v>
      </x:c>
      <x:c r="H625" s="10" t="n">
        <x:v>0</x:v>
      </x:c>
      <x:c r="I625" t="n">
        <x:v>0</x:v>
      </x:c>
      <x:c r="J625" s="6" t="n">
        <x:v>0</x:v>
      </x:c>
    </x:row>
    <x:row r="626">
      <x:c r="A626" t="str">
        <x:v>245 45 18</x:v>
      </x:c>
      <x:c r="B626" t="str">
        <x:v>Medida</x:v>
      </x:c>
      <x:c r="C626" t="n">
        <x:v>1</x:v>
      </x:c>
      <x:c r="D626" t="n">
        <x:v>1</x:v>
      </x:c>
      <x:c r="E626" t="n">
        <x:v>0</x:v>
      </x:c>
      <x:c r="F626" t="n">
        <x:v>0</x:v>
      </x:c>
      <x:c r="G626" s="10" t="n">
        <x:v>0</x:v>
      </x:c>
      <x:c r="H626" s="10" t="n">
        <x:v>0</x:v>
      </x:c>
      <x:c r="I626" t="n">
        <x:v>0</x:v>
      </x:c>
      <x:c r="J626" s="6" t="n">
        <x:v>0</x:v>
      </x:c>
    </x:row>
    <x:row r="627">
      <x:c r="A627" t="str">
        <x:v>225-75-r16c-mirage-mr300-121-120r-1</x:v>
      </x:c>
      <x:c r="B627" t="str">
        <x:v>Medida</x:v>
      </x:c>
      <x:c r="C627" t="n">
        <x:v>1</x:v>
      </x:c>
      <x:c r="D627" t="n">
        <x:v>1</x:v>
      </x:c>
      <x:c r="E627" t="n">
        <x:v>0</x:v>
      </x:c>
      <x:c r="F627" t="n">
        <x:v>0</x:v>
      </x:c>
      <x:c r="G627" s="10" t="n">
        <x:v>0</x:v>
      </x:c>
      <x:c r="H627" s="10" t="n">
        <x:v>0</x:v>
      </x:c>
      <x:c r="I627" t="n">
        <x:v>0</x:v>
      </x:c>
      <x:c r="J627" s="6" t="n">
        <x:v>0</x:v>
      </x:c>
    </x:row>
    <x:row r="628">
      <x:c r="A628" t="str">
        <x:v>265 75 r18</x:v>
      </x:c>
      <x:c r="B628" t="str">
        <x:v>Medida</x:v>
      </x:c>
      <x:c r="C628" t="n">
        <x:v>1</x:v>
      </x:c>
      <x:c r="D628" t="n">
        <x:v>1</x:v>
      </x:c>
      <x:c r="E628" t="n">
        <x:v>0</x:v>
      </x:c>
      <x:c r="F628" t="n">
        <x:v>0</x:v>
      </x:c>
      <x:c r="G628" s="10" t="n">
        <x:v>0</x:v>
      </x:c>
      <x:c r="H628" s="10" t="n">
        <x:v>0</x:v>
      </x:c>
      <x:c r="I628" t="n">
        <x:v>0</x:v>
      </x:c>
      <x:c r="J628" s="6" t="n">
        <x:v>0</x:v>
      </x:c>
    </x:row>
    <x:row r="629">
      <x:c r="A629" t="str">
        <x:v>195 60 r18</x:v>
      </x:c>
      <x:c r="B629" t="str">
        <x:v>Medida</x:v>
      </x:c>
      <x:c r="C629" t="n">
        <x:v>1</x:v>
      </x:c>
      <x:c r="D629" t="n">
        <x:v>1</x:v>
      </x:c>
      <x:c r="E629" t="n">
        <x:v>0</x:v>
      </x:c>
      <x:c r="F629" t="n">
        <x:v>0</x:v>
      </x:c>
      <x:c r="G629" s="10" t="n">
        <x:v>0</x:v>
      </x:c>
      <x:c r="H629" s="10" t="n">
        <x:v>0</x:v>
      </x:c>
      <x:c r="I629" t="n">
        <x:v>0</x:v>
      </x:c>
      <x:c r="J629" s="6" t="n">
        <x:v>0</x:v>
      </x:c>
    </x:row>
    <x:row r="630">
      <x:c r="A630" t="str">
        <x:v>225 65,17</x:v>
      </x:c>
      <x:c r="B630" t="str">
        <x:v>Otro</x:v>
      </x:c>
      <x:c r="C630" t="n">
        <x:v>1</x:v>
      </x:c>
      <x:c r="D630" t="n">
        <x:v>1</x:v>
      </x:c>
      <x:c r="E630" t="n">
        <x:v>0</x:v>
      </x:c>
      <x:c r="F630" t="n">
        <x:v>0</x:v>
      </x:c>
      <x:c r="G630" s="10" t="n">
        <x:v>0</x:v>
      </x:c>
      <x:c r="H630" s="10" t="n">
        <x:v>0</x:v>
      </x:c>
      <x:c r="I630" t="n">
        <x:v>0</x:v>
      </x:c>
      <x:c r="J630" s="6" t="n">
        <x:v>0</x:v>
      </x:c>
    </x:row>
    <x:row r="631">
      <x:c r="A631" t="str">
        <x:v>185-55-r15-fate-sentiva-ar-360-82-h</x:v>
      </x:c>
      <x:c r="B631" t="str">
        <x:v>Producto / URL</x:v>
      </x:c>
      <x:c r="C631" t="n">
        <x:v>1</x:v>
      </x:c>
      <x:c r="D631" t="n">
        <x:v>1</x:v>
      </x:c>
      <x:c r="E631" t="n">
        <x:v>0</x:v>
      </x:c>
      <x:c r="F631" t="n">
        <x:v>0</x:v>
      </x:c>
      <x:c r="G631" s="10" t="n">
        <x:v>0</x:v>
      </x:c>
      <x:c r="H631" s="10" t="n">
        <x:v>0</x:v>
      </x:c>
      <x:c r="I631" t="n">
        <x:v>0</x:v>
      </x:c>
      <x:c r="J631" s="6" t="n">
        <x:v>0</x:v>
      </x:c>
    </x:row>
    <x:row r="632">
      <x:c r="A632" t="str">
        <x:v>225-40-r18-potenza-s001-rft-88-y</x:v>
      </x:c>
      <x:c r="B632" t="str">
        <x:v>Producto / URL</x:v>
      </x:c>
      <x:c r="C632" t="n">
        <x:v>1</x:v>
      </x:c>
      <x:c r="D632" t="n">
        <x:v>1</x:v>
      </x:c>
      <x:c r="E632" t="n">
        <x:v>0</x:v>
      </x:c>
      <x:c r="F632" t="n">
        <x:v>0</x:v>
      </x:c>
      <x:c r="G632" s="10" t="n">
        <x:v>0</x:v>
      </x:c>
      <x:c r="H632" s="10" t="n">
        <x:v>0</x:v>
      </x:c>
      <x:c r="I632" t="n">
        <x:v>0</x:v>
      </x:c>
      <x:c r="J632" s="6" t="n">
        <x:v>0</x:v>
      </x:c>
    </x:row>
    <x:row r="633">
      <x:c r="A633" t="str">
        <x:v>33x12.3</x:v>
      </x:c>
      <x:c r="B633" t="str">
        <x:v>Otro</x:v>
      </x:c>
      <x:c r="C633" t="n">
        <x:v>1</x:v>
      </x:c>
      <x:c r="D633" t="n">
        <x:v>1</x:v>
      </x:c>
      <x:c r="E633" t="n">
        <x:v>0</x:v>
      </x:c>
      <x:c r="F633" t="n">
        <x:v>0</x:v>
      </x:c>
      <x:c r="G633" s="10" t="n">
        <x:v>0</x:v>
      </x:c>
      <x:c r="H633" s="10" t="n">
        <x:v>0</x:v>
      </x:c>
      <x:c r="I633" t="n">
        <x:v>0</x:v>
      </x:c>
      <x:c r="J633" s="6" t="n">
        <x:v>0</x:v>
      </x:c>
    </x:row>
    <x:row r="634">
      <x:c r="A634" t="str">
        <x:v>primacy 4</x:v>
      </x:c>
      <x:c r="B634" t="str">
        <x:v>Otro</x:v>
      </x:c>
      <x:c r="C634" t="n">
        <x:v>1</x:v>
      </x:c>
      <x:c r="D634" t="n">
        <x:v>1</x:v>
      </x:c>
      <x:c r="E634" t="n">
        <x:v>1</x:v>
      </x:c>
      <x:c r="F634" t="n">
        <x:v>1</x:v>
      </x:c>
      <x:c r="G634" s="10" t="n">
        <x:v>1</x:v>
      </x:c>
      <x:c r="H634" s="10" t="n">
        <x:v>0</x:v>
      </x:c>
      <x:c r="I634" t="n">
        <x:v>0</x:v>
      </x:c>
      <x:c r="J634" s="6" t="n">
        <x:v>0</x:v>
      </x:c>
    </x:row>
    <x:row r="635">
      <x:c r="A635" t="str">
        <x:v>215-65-r17-yokohama-geolandar-g058-99h</x:v>
      </x:c>
      <x:c r="B635" t="str">
        <x:v>Producto / URL</x:v>
      </x:c>
      <x:c r="C635" t="n">
        <x:v>1</x:v>
      </x:c>
      <x:c r="D635" t="n">
        <x:v>1</x:v>
      </x:c>
      <x:c r="E635" t="n">
        <x:v>0</x:v>
      </x:c>
      <x:c r="F635" t="n">
        <x:v>0</x:v>
      </x:c>
      <x:c r="G635" s="10" t="n">
        <x:v>0</x:v>
      </x:c>
      <x:c r="H635" s="10" t="n">
        <x:v>0</x:v>
      </x:c>
      <x:c r="I635" t="n">
        <x:v>0</x:v>
      </x:c>
      <x:c r="J635" s="6" t="n">
        <x:v>0</x:v>
      </x:c>
    </x:row>
    <x:row r="636">
      <x:c r="A636" t="str">
        <x:v>275 60 16</x:v>
      </x:c>
      <x:c r="B636" t="str">
        <x:v>Medida</x:v>
      </x:c>
      <x:c r="C636" t="n">
        <x:v>1</x:v>
      </x:c>
      <x:c r="D636" t="n">
        <x:v>1</x:v>
      </x:c>
      <x:c r="E636" t="n">
        <x:v>0</x:v>
      </x:c>
      <x:c r="F636" t="n">
        <x:v>0</x:v>
      </x:c>
      <x:c r="G636" s="10" t="n">
        <x:v>0</x:v>
      </x:c>
      <x:c r="H636" s="10" t="n">
        <x:v>0</x:v>
      </x:c>
      <x:c r="I636" t="n">
        <x:v>0</x:v>
      </x:c>
      <x:c r="J636" s="6" t="n">
        <x:v>0</x:v>
      </x:c>
    </x:row>
    <x:row r="637">
      <x:c r="A637" t="str">
        <x:v>10981</x:v>
      </x:c>
      <x:c r="B637" t="str">
        <x:v>Otro</x:v>
      </x:c>
      <x:c r="C637" t="n">
        <x:v>1</x:v>
      </x:c>
      <x:c r="D637" t="n">
        <x:v>1</x:v>
      </x:c>
      <x:c r="E637" t="n">
        <x:v>0</x:v>
      </x:c>
      <x:c r="F637" t="n">
        <x:v>0</x:v>
      </x:c>
      <x:c r="G637" s="10" t="n">
        <x:v>0</x:v>
      </x:c>
      <x:c r="H637" s="10" t="n">
        <x:v>0</x:v>
      </x:c>
      <x:c r="I637" t="n">
        <x:v>0</x:v>
      </x:c>
      <x:c r="J637" s="6" t="n">
        <x:v>0</x:v>
      </x:c>
    </x:row>
    <x:row r="638">
      <x:c r="A638" t="str">
        <x:v>cubierta michelin 215 65 r 16 ltx force</x:v>
      </x:c>
      <x:c r="B638" t="str">
        <x:v>Otro</x:v>
      </x:c>
      <x:c r="C638" t="n">
        <x:v>1</x:v>
      </x:c>
      <x:c r="D638" t="n">
        <x:v>1</x:v>
      </x:c>
      <x:c r="E638" t="n">
        <x:v>0</x:v>
      </x:c>
      <x:c r="F638" t="n">
        <x:v>0</x:v>
      </x:c>
      <x:c r="G638" s="10" t="n">
        <x:v>0</x:v>
      </x:c>
      <x:c r="H638" s="10" t="n">
        <x:v>0</x:v>
      </x:c>
      <x:c r="I638" t="n">
        <x:v>0</x:v>
      </x:c>
      <x:c r="J638" s="6" t="n">
        <x:v>0</x:v>
      </x:c>
    </x:row>
    <x:row r="639">
      <x:c r="A639" t="str">
        <x:v>primacy 225</x:v>
      </x:c>
      <x:c r="B639" t="str">
        <x:v>Otro</x:v>
      </x:c>
      <x:c r="C639" t="n">
        <x:v>1</x:v>
      </x:c>
      <x:c r="D639" t="n">
        <x:v>1</x:v>
      </x:c>
      <x:c r="E639" t="n">
        <x:v>0</x:v>
      </x:c>
      <x:c r="F639" t="n">
        <x:v>0</x:v>
      </x:c>
      <x:c r="G639" s="10" t="n">
        <x:v>0</x:v>
      </x:c>
      <x:c r="H639" s="10" t="n">
        <x:v>0</x:v>
      </x:c>
      <x:c r="I639" t="n">
        <x:v>0</x:v>
      </x:c>
      <x:c r="J639" s="6" t="n">
        <x:v>0</x:v>
      </x:c>
    </x:row>
    <x:row r="640">
      <x:c r="A640" t="str">
        <x:v>235 50 17</x:v>
      </x:c>
      <x:c r="B640" t="str">
        <x:v>Medida</x:v>
      </x:c>
      <x:c r="C640" t="n">
        <x:v>1</x:v>
      </x:c>
      <x:c r="D640" t="n">
        <x:v>1</x:v>
      </x:c>
      <x:c r="E640" t="n">
        <x:v>0</x:v>
      </x:c>
      <x:c r="F640" t="n">
        <x:v>0</x:v>
      </x:c>
      <x:c r="G640" s="10" t="n">
        <x:v>0</x:v>
      </x:c>
      <x:c r="H640" s="10" t="n">
        <x:v>0</x:v>
      </x:c>
      <x:c r="I640" t="n">
        <x:v>0</x:v>
      </x:c>
      <x:c r="J640" s="6" t="n">
        <x:v>0</x:v>
      </x:c>
    </x:row>
    <x:row r="641">
      <x:c r="A641" t="str">
        <x:v>neumático pirelli 175</x:v>
      </x:c>
      <x:c r="B641" t="str">
        <x:v>Otro</x:v>
      </x:c>
      <x:c r="C641" t="n">
        <x:v>1</x:v>
      </x:c>
      <x:c r="D641" t="n">
        <x:v>1</x:v>
      </x:c>
      <x:c r="E641" t="n">
        <x:v>0</x:v>
      </x:c>
      <x:c r="F641" t="n">
        <x:v>0</x:v>
      </x:c>
      <x:c r="G641" s="10" t="n">
        <x:v>0</x:v>
      </x:c>
      <x:c r="H641" s="10" t="n">
        <x:v>0</x:v>
      </x:c>
      <x:c r="I641" t="n">
        <x:v>0</x:v>
      </x:c>
      <x:c r="J641" s="6" t="n">
        <x:v>0</x:v>
      </x:c>
    </x:row>
    <x:row r="642">
      <x:c r="A642" t="str">
        <x:v>michelin pilot sport 4 suv 235</x:v>
      </x:c>
      <x:c r="B642" t="str">
        <x:v>Otro</x:v>
      </x:c>
      <x:c r="C642" t="n">
        <x:v>1</x:v>
      </x:c>
      <x:c r="D642" t="n">
        <x:v>1</x:v>
      </x:c>
      <x:c r="E642" t="n">
        <x:v>0</x:v>
      </x:c>
      <x:c r="F642" t="n">
        <x:v>0</x:v>
      </x:c>
      <x:c r="G642" s="10" t="n">
        <x:v>0</x:v>
      </x:c>
      <x:c r="H642" s="10" t="n">
        <x:v>0</x:v>
      </x:c>
      <x:c r="I642" t="n">
        <x:v>0</x:v>
      </x:c>
      <x:c r="J642" s="6" t="n">
        <x:v>0</x:v>
      </x:c>
    </x:row>
    <x:row r="643">
      <x:c r="A643" t="str">
        <x:v>205 65 r16</x:v>
      </x:c>
      <x:c r="B643" t="str">
        <x:v>Medida</x:v>
      </x:c>
      <x:c r="C643" t="n">
        <x:v>1</x:v>
      </x:c>
      <x:c r="D643" t="n">
        <x:v>1</x:v>
      </x:c>
      <x:c r="E643" t="n">
        <x:v>0</x:v>
      </x:c>
      <x:c r="F643" t="n">
        <x:v>0</x:v>
      </x:c>
      <x:c r="G643" s="10" t="n">
        <x:v>0</x:v>
      </x:c>
      <x:c r="H643" s="10" t="n">
        <x:v>0</x:v>
      </x:c>
      <x:c r="I643" t="n">
        <x:v>0</x:v>
      </x:c>
      <x:c r="J643" s="6" t="n">
        <x:v>0</x:v>
      </x:c>
    </x:row>
    <x:row r="644">
      <x:c r="A644" t="str">
        <x:v>160 70 17</x:v>
      </x:c>
      <x:c r="B644" t="str">
        <x:v>Medida</x:v>
      </x:c>
      <x:c r="C644" t="n">
        <x:v>1</x:v>
      </x:c>
      <x:c r="D644" t="n">
        <x:v>1</x:v>
      </x:c>
      <x:c r="E644" t="n">
        <x:v>0</x:v>
      </x:c>
      <x:c r="F644" t="n">
        <x:v>0</x:v>
      </x:c>
      <x:c r="G644" s="10" t="n">
        <x:v>0</x:v>
      </x:c>
      <x:c r="H644" s="10" t="n">
        <x:v>0</x:v>
      </x:c>
      <x:c r="I644" t="n">
        <x:v>0</x:v>
      </x:c>
      <x:c r="J644" s="6" t="n">
        <x:v>0</x:v>
      </x:c>
    </x:row>
    <x:row r="645">
      <x:c r="A645" t="str">
        <x:v>195-60-r15-mastersteel-prosport-88h-1</x:v>
      </x:c>
      <x:c r="B645" t="str">
        <x:v>Producto / URL</x:v>
      </x:c>
      <x:c r="C645" t="n">
        <x:v>1</x:v>
      </x:c>
      <x:c r="D645" t="n">
        <x:v>1</x:v>
      </x:c>
      <x:c r="E645" t="n">
        <x:v>0</x:v>
      </x:c>
      <x:c r="F645" t="n">
        <x:v>0</x:v>
      </x:c>
      <x:c r="G645" s="10" t="n">
        <x:v>0</x:v>
      </x:c>
      <x:c r="H645" s="10" t="n">
        <x:v>0</x:v>
      </x:c>
      <x:c r="I645" t="n">
        <x:v>0</x:v>
      </x:c>
      <x:c r="J645" s="6" t="n">
        <x:v>0</x:v>
      </x:c>
    </x:row>
    <x:row r="646">
      <x:c r="A646" t="str">
        <x:v>about</x:v>
      </x:c>
      <x:c r="B646" t="str">
        <x:v>Otro</x:v>
      </x:c>
      <x:c r="C646" t="n">
        <x:v>1</x:v>
      </x:c>
      <x:c r="D646" t="n">
        <x:v>1</x:v>
      </x:c>
      <x:c r="E646" t="n">
        <x:v>0</x:v>
      </x:c>
      <x:c r="F646" t="n">
        <x:v>0</x:v>
      </x:c>
      <x:c r="G646" s="10" t="n">
        <x:v>0</x:v>
      </x:c>
      <x:c r="H646" s="10" t="n">
        <x:v>0</x:v>
      </x:c>
      <x:c r="I646" t="n">
        <x:v>0</x:v>
      </x:c>
      <x:c r="J646" s="6" t="n">
        <x:v>0</x:v>
      </x:c>
    </x:row>
    <x:row r="647">
      <x:c r="A647" t="str">
        <x:v>agilis</x:v>
      </x:c>
      <x:c r="B647" t="str">
        <x:v>Otro</x:v>
      </x:c>
      <x:c r="C647" t="n">
        <x:v>1</x:v>
      </x:c>
      <x:c r="D647" t="n">
        <x:v>1</x:v>
      </x:c>
      <x:c r="E647" t="n">
        <x:v>0</x:v>
      </x:c>
      <x:c r="F647" t="n">
        <x:v>0</x:v>
      </x:c>
      <x:c r="G647" s="10" t="n">
        <x:v>0</x:v>
      </x:c>
      <x:c r="H647" s="10" t="n">
        <x:v>0</x:v>
      </x:c>
      <x:c r="I647" t="n">
        <x:v>0</x:v>
      </x:c>
      <x:c r="J647" s="6" t="n">
        <x:v>0</x:v>
      </x:c>
    </x:row>
    <x:row r="648">
      <x:c r="A648" t="str">
        <x:v>285 70 17 bf</x:v>
      </x:c>
      <x:c r="B648" t="str">
        <x:v>Medida</x:v>
      </x:c>
      <x:c r="C648" t="n">
        <x:v>1</x:v>
      </x:c>
      <x:c r="D648" t="n">
        <x:v>1</x:v>
      </x:c>
      <x:c r="E648" t="n">
        <x:v>2</x:v>
      </x:c>
      <x:c r="F648" t="n">
        <x:v>1</x:v>
      </x:c>
      <x:c r="G648" s="10" t="n">
        <x:v>2</x:v>
      </x:c>
      <x:c r="H648" s="10" t="n">
        <x:v>0</x:v>
      </x:c>
      <x:c r="I648" t="n">
        <x:v>0</x:v>
      </x:c>
      <x:c r="J648" s="6" t="n">
        <x:v>0</x:v>
      </x:c>
    </x:row>
    <x:row r="649">
      <x:c r="A649" t="str">
        <x:v>2656018</x:v>
      </x:c>
      <x:c r="B649" t="str">
        <x:v>Otro</x:v>
      </x:c>
      <x:c r="C649" t="n">
        <x:v>1</x:v>
      </x:c>
      <x:c r="D649" t="n">
        <x:v>1</x:v>
      </x:c>
      <x:c r="E649" t="n">
        <x:v>1</x:v>
      </x:c>
      <x:c r="F649" t="n">
        <x:v>1</x:v>
      </x:c>
      <x:c r="G649" s="10" t="n">
        <x:v>1</x:v>
      </x:c>
      <x:c r="H649" s="10" t="n">
        <x:v>0</x:v>
      </x:c>
      <x:c r="I649" t="n">
        <x:v>0</x:v>
      </x:c>
      <x:c r="J649" s="6" t="n">
        <x:v>0</x:v>
      </x:c>
    </x:row>
    <x:row r="650">
      <x:c r="A650" t="str">
        <x:v>fate 165</x:v>
      </x:c>
      <x:c r="B650" t="str">
        <x:v>Otro</x:v>
      </x:c>
      <x:c r="C650" t="n">
        <x:v>1</x:v>
      </x:c>
      <x:c r="D650" t="n">
        <x:v>1</x:v>
      </x:c>
      <x:c r="E650" t="n">
        <x:v>0</x:v>
      </x:c>
      <x:c r="F650" t="n">
        <x:v>0</x:v>
      </x:c>
      <x:c r="G650" s="10" t="n">
        <x:v>0</x:v>
      </x:c>
      <x:c r="H650" s="10" t="n">
        <x:v>0</x:v>
      </x:c>
      <x:c r="I650" t="n">
        <x:v>0</x:v>
      </x:c>
      <x:c r="J650" s="6" t="n">
        <x:v>0</x:v>
      </x:c>
    </x:row>
    <x:row r="651">
      <x:c r="A651" t="str">
        <x:v>225 60 r17</x:v>
      </x:c>
      <x:c r="B651" t="str">
        <x:v>Medida</x:v>
      </x:c>
      <x:c r="C651" t="n">
        <x:v>1</x:v>
      </x:c>
      <x:c r="D651" t="n">
        <x:v>1</x:v>
      </x:c>
      <x:c r="E651" t="n">
        <x:v>4</x:v>
      </x:c>
      <x:c r="F651" t="n">
        <x:v>1</x:v>
      </x:c>
      <x:c r="G651" s="10" t="n">
        <x:v>4</x:v>
      </x:c>
      <x:c r="H651" s="10" t="n">
        <x:v>0</x:v>
      </x:c>
      <x:c r="I651" t="n">
        <x:v>0</x:v>
      </x:c>
      <x:c r="J651" s="6" t="n">
        <x:v>0</x:v>
      </x:c>
    </x:row>
    <x:row r="652">
      <x:c r="A652" t="str">
        <x:v>neumatico r14</x:v>
      </x:c>
      <x:c r="B652" t="str">
        <x:v>Otro</x:v>
      </x:c>
      <x:c r="C652" t="n">
        <x:v>1</x:v>
      </x:c>
      <x:c r="D652" t="n">
        <x:v>1</x:v>
      </x:c>
      <x:c r="E652" t="n">
        <x:v>0</x:v>
      </x:c>
      <x:c r="F652" t="n">
        <x:v>0</x:v>
      </x:c>
      <x:c r="G652" s="10" t="n">
        <x:v>0</x:v>
      </x:c>
      <x:c r="H652" s="10" t="n">
        <x:v>0</x:v>
      </x:c>
      <x:c r="I652" t="n">
        <x:v>0</x:v>
      </x:c>
      <x:c r="J652" s="6" t="n">
        <x:v>0</x:v>
      </x:c>
    </x:row>
    <x:row r="653">
      <x:c r="A653" t="str">
        <x:v>neumático 215</x:v>
      </x:c>
      <x:c r="B653" t="str">
        <x:v>Otro</x:v>
      </x:c>
      <x:c r="C653" t="n">
        <x:v>1</x:v>
      </x:c>
      <x:c r="D653" t="n">
        <x:v>1</x:v>
      </x:c>
      <x:c r="E653" t="n">
        <x:v>0</x:v>
      </x:c>
      <x:c r="F653" t="n">
        <x:v>0</x:v>
      </x:c>
      <x:c r="G653" s="10" t="n">
        <x:v>0</x:v>
      </x:c>
      <x:c r="H653" s="10" t="n">
        <x:v>0</x:v>
      </x:c>
      <x:c r="I653" t="n">
        <x:v>0</x:v>
      </x:c>
      <x:c r="J653" s="6" t="n">
        <x:v>0</x:v>
      </x:c>
    </x:row>
    <x:row r="654">
      <x:c r="A654" t="str">
        <x:v>michelin 235 60 18 trail</x:v>
      </x:c>
      <x:c r="B654" t="str">
        <x:v>Medida</x:v>
      </x:c>
      <x:c r="C654" t="n">
        <x:v>1</x:v>
      </x:c>
      <x:c r="D654" t="n">
        <x:v>1</x:v>
      </x:c>
      <x:c r="E654" t="n">
        <x:v>3</x:v>
      </x:c>
      <x:c r="F654" t="n">
        <x:v>1</x:v>
      </x:c>
      <x:c r="G654" s="10" t="n">
        <x:v>3</x:v>
      </x:c>
      <x:c r="H654" s="10" t="n">
        <x:v>0</x:v>
      </x:c>
      <x:c r="I654" t="n">
        <x:v>0</x:v>
      </x:c>
      <x:c r="J654" s="6" t="n">
        <x:v>0</x:v>
      </x:c>
    </x:row>
    <x:row r="655">
      <x:c r="A655" t="str">
        <x:v>260</x:v>
      </x:c>
      <x:c r="B655" t="str">
        <x:v>Otro</x:v>
      </x:c>
      <x:c r="C655" t="n">
        <x:v>1</x:v>
      </x:c>
      <x:c r="D655" t="n">
        <x:v>1</x:v>
      </x:c>
      <x:c r="E655" t="n">
        <x:v>0</x:v>
      </x:c>
      <x:c r="F655" t="n">
        <x:v>0</x:v>
      </x:c>
      <x:c r="G655" s="10" t="n">
        <x:v>0</x:v>
      </x:c>
      <x:c r="H655" s="10" t="n">
        <x:v>0</x:v>
      </x:c>
      <x:c r="I655" t="n">
        <x:v>0</x:v>
      </x:c>
      <x:c r="J655" s="6" t="n">
        <x:v>0</x:v>
      </x:c>
    </x:row>
    <x:row r="656">
      <x:c r="A656" t="str">
        <x:v>2657</x:v>
      </x:c>
      <x:c r="B656" t="str">
        <x:v>Otro</x:v>
      </x:c>
      <x:c r="C656" t="n">
        <x:v>1</x:v>
      </x:c>
      <x:c r="D656" t="n">
        <x:v>1</x:v>
      </x:c>
      <x:c r="E656" t="n">
        <x:v>0</x:v>
      </x:c>
      <x:c r="F656" t="n">
        <x:v>0</x:v>
      </x:c>
      <x:c r="G656" s="10" t="n">
        <x:v>0</x:v>
      </x:c>
      <x:c r="H656" s="10" t="n">
        <x:v>0</x:v>
      </x:c>
      <x:c r="I656" t="n">
        <x:v>0</x:v>
      </x:c>
      <x:c r="J656" s="6" t="n">
        <x:v>0</x:v>
      </x:c>
    </x:row>
    <x:row r="657">
      <x:c r="A657" t="str">
        <x:v>cubiertas moto rodado 17</x:v>
      </x:c>
      <x:c r="B657" t="str">
        <x:v>Otro</x:v>
      </x:c>
      <x:c r="C657" t="n">
        <x:v>1</x:v>
      </x:c>
      <x:c r="D657" t="n">
        <x:v>1</x:v>
      </x:c>
      <x:c r="E657" t="n">
        <x:v>1</x:v>
      </x:c>
      <x:c r="F657" t="n">
        <x:v>1</x:v>
      </x:c>
      <x:c r="G657" s="10" t="n">
        <x:v>1</x:v>
      </x:c>
      <x:c r="H657" s="10" t="n">
        <x:v>0</x:v>
      </x:c>
      <x:c r="I657" t="n">
        <x:v>0</x:v>
      </x:c>
      <x:c r="J657" s="6" t="n">
        <x:v>0</x:v>
      </x:c>
    </x:row>
    <x:row r="658">
      <x:c r="A658" t="str">
        <x:v>cubiertas 175</x:v>
      </x:c>
      <x:c r="B658" t="str">
        <x:v>Otro</x:v>
      </x:c>
      <x:c r="C658" t="n">
        <x:v>1</x:v>
      </x:c>
      <x:c r="D658" t="n">
        <x:v>1</x:v>
      </x:c>
      <x:c r="E658" t="n">
        <x:v>0</x:v>
      </x:c>
      <x:c r="F658" t="n">
        <x:v>0</x:v>
      </x:c>
      <x:c r="G658" s="10" t="n">
        <x:v>0</x:v>
      </x:c>
      <x:c r="H658" s="10" t="n">
        <x:v>0</x:v>
      </x:c>
      <x:c r="I658" t="n">
        <x:v>0</x:v>
      </x:c>
      <x:c r="J658" s="6" t="n">
        <x:v>0</x:v>
      </x:c>
    </x:row>
    <x:row r="659">
      <x:c r="A659" t="str">
        <x:v>235 65,17</x:v>
      </x:c>
      <x:c r="B659" t="str">
        <x:v>Otro</x:v>
      </x:c>
      <x:c r="C659" t="n">
        <x:v>1</x:v>
      </x:c>
      <x:c r="D659" t="n">
        <x:v>1</x:v>
      </x:c>
      <x:c r="E659" t="n">
        <x:v>0</x:v>
      </x:c>
      <x:c r="F659" t="n">
        <x:v>0</x:v>
      </x:c>
      <x:c r="G659" s="10" t="n">
        <x:v>0</x:v>
      </x:c>
      <x:c r="H659" s="10" t="n">
        <x:v>0</x:v>
      </x:c>
      <x:c r="I659" t="n">
        <x:v>0</x:v>
      </x:c>
      <x:c r="J659" s="6" t="n">
        <x:v>0</x:v>
      </x:c>
    </x:row>
    <x:row r="660">
      <x:c r="A660" t="str">
        <x:v>michelin city extra</x:v>
      </x:c>
      <x:c r="B660" t="str">
        <x:v>Otro</x:v>
      </x:c>
      <x:c r="C660" t="n">
        <x:v>1</x:v>
      </x:c>
      <x:c r="D660" t="n">
        <x:v>1</x:v>
      </x:c>
      <x:c r="E660" t="n">
        <x:v>0</x:v>
      </x:c>
      <x:c r="F660" t="n">
        <x:v>0</x:v>
      </x:c>
      <x:c r="G660" s="10" t="n">
        <x:v>0</x:v>
      </x:c>
      <x:c r="H660" s="10" t="n">
        <x:v>0</x:v>
      </x:c>
      <x:c r="I660" t="n">
        <x:v>0</x:v>
      </x:c>
      <x:c r="J660" s="6" t="n">
        <x:v>0</x:v>
      </x:c>
    </x:row>
    <x:row r="661">
      <x:c r="A661" t="str">
        <x:v>206</x:v>
      </x:c>
      <x:c r="B661" t="str">
        <x:v>Otro</x:v>
      </x:c>
      <x:c r="C661" t="n">
        <x:v>1</x:v>
      </x:c>
      <x:c r="D661" t="n">
        <x:v>1</x:v>
      </x:c>
      <x:c r="E661" t="n">
        <x:v>0</x:v>
      </x:c>
      <x:c r="F661" t="n">
        <x:v>0</x:v>
      </x:c>
      <x:c r="G661" s="10" t="n">
        <x:v>0</x:v>
      </x:c>
      <x:c r="H661" s="10" t="n">
        <x:v>0</x:v>
      </x:c>
      <x:c r="I661" t="n">
        <x:v>0</x:v>
      </x:c>
      <x:c r="J661" s="6" t="n">
        <x:v>0</x:v>
      </x:c>
    </x:row>
    <x:row r="662">
      <x:c r="A662" t="str">
        <x:v>254</x:v>
      </x:c>
      <x:c r="B662" t="str">
        <x:v>Otro</x:v>
      </x:c>
      <x:c r="C662" t="n">
        <x:v>1</x:v>
      </x:c>
      <x:c r="D662" t="n">
        <x:v>1</x:v>
      </x:c>
      <x:c r="E662" t="n">
        <x:v>0</x:v>
      </x:c>
      <x:c r="F662" t="n">
        <x:v>0</x:v>
      </x:c>
      <x:c r="G662" s="10" t="n">
        <x:v>0</x:v>
      </x:c>
      <x:c r="H662" s="10" t="n">
        <x:v>0</x:v>
      </x:c>
      <x:c r="I662" t="n">
        <x:v>0</x:v>
      </x:c>
      <x:c r="J662" s="6" t="n">
        <x:v>0</x:v>
      </x:c>
    </x:row>
    <x:row r="663">
      <x:c r="A663" t="str">
        <x:v>primacy 4+ r16</x:v>
      </x:c>
      <x:c r="B663" t="str">
        <x:v>Otro</x:v>
      </x:c>
      <x:c r="C663" t="n">
        <x:v>1</x:v>
      </x:c>
      <x:c r="D663" t="n">
        <x:v>1</x:v>
      </x:c>
      <x:c r="E663" t="n">
        <x:v>0</x:v>
      </x:c>
      <x:c r="F663" t="n">
        <x:v>0</x:v>
      </x:c>
      <x:c r="G663" s="10" t="n">
        <x:v>0</x:v>
      </x:c>
      <x:c r="H663" s="10" t="n">
        <x:v>0</x:v>
      </x:c>
      <x:c r="I663" t="n">
        <x:v>0</x:v>
      </x:c>
      <x:c r="J663" s="6" t="n">
        <x:v>0</x:v>
      </x:c>
    </x:row>
    <x:row r="664">
      <x:c r="A664" t="str">
        <x:v>120 18</x:v>
      </x:c>
      <x:c r="B664" t="str">
        <x:v>Otro</x:v>
      </x:c>
      <x:c r="C664" t="n">
        <x:v>1</x:v>
      </x:c>
      <x:c r="D664" t="n">
        <x:v>1</x:v>
      </x:c>
      <x:c r="E664" t="n">
        <x:v>0</x:v>
      </x:c>
      <x:c r="F664" t="n">
        <x:v>0</x:v>
      </x:c>
      <x:c r="G664" s="10" t="n">
        <x:v>0</x:v>
      </x:c>
      <x:c r="H664" s="10" t="n">
        <x:v>0</x:v>
      </x:c>
      <x:c r="I664" t="n">
        <x:v>0</x:v>
      </x:c>
      <x:c r="J664" s="6" t="n">
        <x:v>0</x:v>
      </x:c>
    </x:row>
    <x:row r="665">
      <x:c r="A665" t="str">
        <x:v>55 r20</x:v>
      </x:c>
      <x:c r="B665" t="str">
        <x:v>Otro</x:v>
      </x:c>
      <x:c r="C665" t="n">
        <x:v>1</x:v>
      </x:c>
      <x:c r="D665" t="n">
        <x:v>1</x:v>
      </x:c>
      <x:c r="E665" t="n">
        <x:v>0</x:v>
      </x:c>
      <x:c r="F665" t="n">
        <x:v>0</x:v>
      </x:c>
      <x:c r="G665" s="10" t="n">
        <x:v>0</x:v>
      </x:c>
      <x:c r="H665" s="10" t="n">
        <x:v>0</x:v>
      </x:c>
      <x:c r="I665" t="n">
        <x:v>0</x:v>
      </x:c>
      <x:c r="J665" s="6" t="n">
        <x:v>0</x:v>
      </x:c>
    </x:row>
    <x:row r="666">
      <x:c r="A666" t="str">
        <x:v>city grip</x:v>
      </x:c>
      <x:c r="B666" t="str">
        <x:v>Otro</x:v>
      </x:c>
      <x:c r="C666" t="n">
        <x:v>1</x:v>
      </x:c>
      <x:c r="D666" t="n">
        <x:v>1</x:v>
      </x:c>
      <x:c r="E666" t="n">
        <x:v>2</x:v>
      </x:c>
      <x:c r="F666" t="n">
        <x:v>1</x:v>
      </x:c>
      <x:c r="G666" s="10" t="n">
        <x:v>2</x:v>
      </x:c>
      <x:c r="H666" s="10" t="n">
        <x:v>0</x:v>
      </x:c>
      <x:c r="I666" t="n">
        <x:v>0</x:v>
      </x:c>
      <x:c r="J666" s="6" t="n">
        <x:v>0</x:v>
      </x:c>
    </x:row>
    <x:row r="667">
      <x:c r="A667" t="str">
        <x:v>265 60 r18 at</x:v>
      </x:c>
      <x:c r="B667" t="str">
        <x:v>Medida</x:v>
      </x:c>
      <x:c r="C667" t="n">
        <x:v>1</x:v>
      </x:c>
      <x:c r="D667" t="n">
        <x:v>1</x:v>
      </x:c>
      <x:c r="E667" t="n">
        <x:v>0</x:v>
      </x:c>
      <x:c r="F667" t="n">
        <x:v>0</x:v>
      </x:c>
      <x:c r="G667" s="10" t="n">
        <x:v>0</x:v>
      </x:c>
      <x:c r="H667" s="10" t="n">
        <x:v>0</x:v>
      </x:c>
      <x:c r="I667" t="n">
        <x:v>0</x:v>
      </x:c>
      <x:c r="J667" s="6" t="n">
        <x:v>0</x:v>
      </x:c>
    </x:row>
    <x:row r="668">
      <x:c r="A668" t="str">
        <x:v>255 35 19</x:v>
      </x:c>
      <x:c r="B668" t="str">
        <x:v>Medida</x:v>
      </x:c>
      <x:c r="C668" t="n">
        <x:v>1</x:v>
      </x:c>
      <x:c r="D668" t="n">
        <x:v>1</x:v>
      </x:c>
      <x:c r="E668" t="n">
        <x:v>3</x:v>
      </x:c>
      <x:c r="F668" t="n">
        <x:v>1</x:v>
      </x:c>
      <x:c r="G668" s="10" t="n">
        <x:v>3</x:v>
      </x:c>
      <x:c r="H668" s="10" t="n">
        <x:v>0</x:v>
      </x:c>
      <x:c r="I668" t="n">
        <x:v>0</x:v>
      </x:c>
      <x:c r="J668" s="6" t="n">
        <x:v>0</x:v>
      </x:c>
    </x:row>
    <x:row r="669">
      <x:c r="A669" t="str">
        <x:v>rodado 18</x:v>
      </x:c>
      <x:c r="B669" t="str">
        <x:v>Otro</x:v>
      </x:c>
      <x:c r="C669" t="n">
        <x:v>1</x:v>
      </x:c>
      <x:c r="D669" t="n">
        <x:v>1</x:v>
      </x:c>
      <x:c r="E669" t="n">
        <x:v>0</x:v>
      </x:c>
      <x:c r="F669" t="n">
        <x:v>0</x:v>
      </x:c>
      <x:c r="G669" s="10" t="n">
        <x:v>0</x:v>
      </x:c>
      <x:c r="H669" s="10" t="n">
        <x:v>0</x:v>
      </x:c>
      <x:c r="I669" t="n">
        <x:v>0</x:v>
      </x:c>
      <x:c r="J669" s="6" t="n">
        <x:v>0</x:v>
      </x:c>
    </x:row>
    <x:row r="670">
      <x:c r="A670" t="str">
        <x:v>145 70 r13</x:v>
      </x:c>
      <x:c r="B670" t="str">
        <x:v>Medida</x:v>
      </x:c>
      <x:c r="C670" t="n">
        <x:v>1</x:v>
      </x:c>
      <x:c r="D670" t="n">
        <x:v>1</x:v>
      </x:c>
      <x:c r="E670" t="n">
        <x:v>0</x:v>
      </x:c>
      <x:c r="F670" t="n">
        <x:v>0</x:v>
      </x:c>
      <x:c r="G670" s="10" t="n">
        <x:v>0</x:v>
      </x:c>
      <x:c r="H670" s="10" t="n">
        <x:v>0</x:v>
      </x:c>
      <x:c r="I670" t="n">
        <x:v>0</x:v>
      </x:c>
      <x:c r="J670" s="6" t="n">
        <x:v>0</x:v>
      </x:c>
    </x:row>
    <x:row r="671">
      <x:c r="A671" t="str">
        <x:v>225 50 17</x:v>
      </x:c>
      <x:c r="B671" t="str">
        <x:v>Medida</x:v>
      </x:c>
      <x:c r="C671" t="n">
        <x:v>1</x:v>
      </x:c>
      <x:c r="D671" t="n">
        <x:v>1</x:v>
      </x:c>
      <x:c r="E671" t="n">
        <x:v>0</x:v>
      </x:c>
      <x:c r="F671" t="n">
        <x:v>0</x:v>
      </x:c>
      <x:c r="G671" s="10" t="n">
        <x:v>0</x:v>
      </x:c>
      <x:c r="H671" s="10" t="n">
        <x:v>0</x:v>
      </x:c>
      <x:c r="I671" t="n">
        <x:v>0</x:v>
      </x:c>
      <x:c r="J671" s="6" t="n">
        <x:v>0</x:v>
      </x:c>
    </x:row>
    <x:row r="672">
      <x:c r="A672" t="str">
        <x:v>194</x:v>
      </x:c>
      <x:c r="B672" t="str">
        <x:v>Otro</x:v>
      </x:c>
      <x:c r="C672" t="n">
        <x:v>1</x:v>
      </x:c>
      <x:c r="D672" t="n">
        <x:v>1</x:v>
      </x:c>
      <x:c r="E672" t="n">
        <x:v>0</x:v>
      </x:c>
      <x:c r="F672" t="n">
        <x:v>0</x:v>
      </x:c>
      <x:c r="G672" s="10" t="n">
        <x:v>0</x:v>
      </x:c>
      <x:c r="H672" s="10" t="n">
        <x:v>0</x:v>
      </x:c>
      <x:c r="I672" t="n">
        <x:v>0</x:v>
      </x:c>
      <x:c r="J672" s="6" t="n">
        <x:v>0</x:v>
      </x:c>
    </x:row>
    <x:row r="673">
      <x:c r="A673" t="str">
        <x:v>185-65-15</x:v>
      </x:c>
      <x:c r="B673" t="str">
        <x:v>Medida</x:v>
      </x:c>
      <x:c r="C673" t="n">
        <x:v>1</x:v>
      </x:c>
      <x:c r="D673" t="n">
        <x:v>1</x:v>
      </x:c>
      <x:c r="E673" t="n">
        <x:v>0</x:v>
      </x:c>
      <x:c r="F673" t="n">
        <x:v>0</x:v>
      </x:c>
      <x:c r="G673" s="10" t="n">
        <x:v>0</x:v>
      </x:c>
      <x:c r="H673" s="10" t="n">
        <x:v>0</x:v>
      </x:c>
      <x:c r="I673" t="n">
        <x:v>0</x:v>
      </x:c>
      <x:c r="J673" s="6" t="n">
        <x:v>0</x:v>
      </x:c>
    </x:row>
    <x:row r="674">
      <x:c r="A674" t="str">
        <x:v>cinturato p1 185</x:v>
      </x:c>
      <x:c r="B674" t="str">
        <x:v>Otro</x:v>
      </x:c>
      <x:c r="C674" t="n">
        <x:v>1</x:v>
      </x:c>
      <x:c r="D674" t="n">
        <x:v>1</x:v>
      </x:c>
      <x:c r="E674" t="n">
        <x:v>0</x:v>
      </x:c>
      <x:c r="F674" t="n">
        <x:v>0</x:v>
      </x:c>
      <x:c r="G674" s="10" t="n">
        <x:v>0</x:v>
      </x:c>
      <x:c r="H674" s="10" t="n">
        <x:v>0</x:v>
      </x:c>
      <x:c r="I674" t="n">
        <x:v>0</x:v>
      </x:c>
      <x:c r="J674" s="6" t="n">
        <x:v>0</x:v>
      </x:c>
    </x:row>
    <x:row r="675">
      <x:c r="A675" t="str">
        <x:v>215 80 r16</x:v>
      </x:c>
      <x:c r="B675" t="str">
        <x:v>Medida</x:v>
      </x:c>
      <x:c r="C675" t="n">
        <x:v>1</x:v>
      </x:c>
      <x:c r="D675" t="n">
        <x:v>1</x:v>
      </x:c>
      <x:c r="E675" t="n">
        <x:v>0</x:v>
      </x:c>
      <x:c r="F675" t="n">
        <x:v>0</x:v>
      </x:c>
      <x:c r="G675" s="10" t="n">
        <x:v>0</x:v>
      </x:c>
      <x:c r="H675" s="10" t="n">
        <x:v>0</x:v>
      </x:c>
      <x:c r="I675" t="n">
        <x:v>0</x:v>
      </x:c>
      <x:c r="J675" s="6" t="n">
        <x:v>0</x:v>
      </x:c>
    </x:row>
    <x:row r="676">
      <x:c r="A676" t="str">
        <x:v>nfera su4</x:v>
      </x:c>
      <x:c r="B676" t="str">
        <x:v>Otro</x:v>
      </x:c>
      <x:c r="C676" t="n">
        <x:v>1</x:v>
      </x:c>
      <x:c r="D676" t="n">
        <x:v>1</x:v>
      </x:c>
      <x:c r="E676" t="n">
        <x:v>1</x:v>
      </x:c>
      <x:c r="F676" t="n">
        <x:v>1</x:v>
      </x:c>
      <x:c r="G676" s="10" t="n">
        <x:v>1</x:v>
      </x:c>
      <x:c r="H676" s="10" t="n">
        <x:v>0</x:v>
      </x:c>
      <x:c r="I676" t="n">
        <x:v>0</x:v>
      </x:c>
      <x:c r="J676" s="6" t="n">
        <x:v>0</x:v>
      </x:c>
    </x:row>
    <x:row r="677">
      <x:c r="A677" t="str">
        <x:v>185-55-r16-mirage-mr-182-83v-1</x:v>
      </x:c>
      <x:c r="B677" t="str">
        <x:v>Producto / URL</x:v>
      </x:c>
      <x:c r="C677" t="n">
        <x:v>1</x:v>
      </x:c>
      <x:c r="D677" t="n">
        <x:v>1</x:v>
      </x:c>
      <x:c r="E677" t="n">
        <x:v>0</x:v>
      </x:c>
      <x:c r="F677" t="n">
        <x:v>0</x:v>
      </x:c>
      <x:c r="G677" s="10" t="n">
        <x:v>0</x:v>
      </x:c>
      <x:c r="H677" s="10" t="n">
        <x:v>0</x:v>
      </x:c>
      <x:c r="I677" t="n">
        <x:v>0</x:v>
      </x:c>
      <x:c r="J677" s="6" t="n">
        <x:v>0</x:v>
      </x:c>
    </x:row>
    <x:row r="678">
      <x:c r="A678" t="str">
        <x:v>r 15</x:v>
      </x:c>
      <x:c r="B678" t="str">
        <x:v>Otro</x:v>
      </x:c>
      <x:c r="C678" t="n">
        <x:v>1</x:v>
      </x:c>
      <x:c r="D678" t="n">
        <x:v>1</x:v>
      </x:c>
      <x:c r="E678" t="n">
        <x:v>0</x:v>
      </x:c>
      <x:c r="F678" t="n">
        <x:v>0</x:v>
      </x:c>
      <x:c r="G678" s="10" t="n">
        <x:v>0</x:v>
      </x:c>
      <x:c r="H678" s="10" t="n">
        <x:v>0</x:v>
      </x:c>
      <x:c r="I678" t="n">
        <x:v>0</x:v>
      </x:c>
      <x:c r="J678" s="6" t="n">
        <x:v>0</x:v>
      </x:c>
    </x:row>
    <x:row r="679">
      <x:c r="A679" t="str">
        <x:v>70 R16</x:v>
      </x:c>
      <x:c r="B679" t="str">
        <x:v>Otro</x:v>
      </x:c>
      <x:c r="C679" t="n">
        <x:v>1</x:v>
      </x:c>
      <x:c r="D679" t="n">
        <x:v>1</x:v>
      </x:c>
      <x:c r="E679" t="n">
        <x:v>0</x:v>
      </x:c>
      <x:c r="F679" t="n">
        <x:v>0</x:v>
      </x:c>
      <x:c r="G679" s="10" t="n">
        <x:v>0</x:v>
      </x:c>
      <x:c r="H679" s="10" t="n">
        <x:v>0</x:v>
      </x:c>
      <x:c r="I679" t="n">
        <x:v>0</x:v>
      </x:c>
      <x:c r="J679" s="6" t="n">
        <x:v>0</x:v>
      </x:c>
    </x:row>
    <x:row r="680">
      <x:c r="A680" t="str">
        <x:v>10.5 15</x:v>
      </x:c>
      <x:c r="B680" t="str">
        <x:v>Otro</x:v>
      </x:c>
      <x:c r="C680" t="n">
        <x:v>1</x:v>
      </x:c>
      <x:c r="D680" t="n">
        <x:v>1</x:v>
      </x:c>
      <x:c r="E680" t="n">
        <x:v>0</x:v>
      </x:c>
      <x:c r="F680" t="n">
        <x:v>0</x:v>
      </x:c>
      <x:c r="G680" s="10" t="n">
        <x:v>0</x:v>
      </x:c>
      <x:c r="H680" s="10" t="n">
        <x:v>0</x:v>
      </x:c>
      <x:c r="I680" t="n">
        <x:v>0</x:v>
      </x:c>
      <x:c r="J680" s="6" t="n">
        <x:v>0</x:v>
      </x:c>
    </x:row>
    <x:row r="681">
      <x:c r="A681" t="str">
        <x:v>michelin 205 55 16</x:v>
      </x:c>
      <x:c r="B681" t="str">
        <x:v>Medida</x:v>
      </x:c>
      <x:c r="C681" t="n">
        <x:v>1</x:v>
      </x:c>
      <x:c r="D681" t="n">
        <x:v>1</x:v>
      </x:c>
      <x:c r="E681" t="n">
        <x:v>0</x:v>
      </x:c>
      <x:c r="F681" t="n">
        <x:v>0</x:v>
      </x:c>
      <x:c r="G681" s="10" t="n">
        <x:v>0</x:v>
      </x:c>
      <x:c r="H681" s="10" t="n">
        <x:v>0</x:v>
      </x:c>
      <x:c r="I681" t="n">
        <x:v>0</x:v>
      </x:c>
      <x:c r="J681" s="6" t="n">
        <x:v>0</x:v>
      </x:c>
    </x:row>
    <x:row r="682">
      <x:c r="A682" t="str">
        <x:v>140 70 r16</x:v>
      </x:c>
      <x:c r="B682" t="str">
        <x:v>Medida</x:v>
      </x:c>
      <x:c r="C682" t="n">
        <x:v>1</x:v>
      </x:c>
      <x:c r="D682" t="n">
        <x:v>1</x:v>
      </x:c>
      <x:c r="E682" t="n">
        <x:v>0</x:v>
      </x:c>
      <x:c r="F682" t="n">
        <x:v>0</x:v>
      </x:c>
      <x:c r="G682" s="10" t="n">
        <x:v>0</x:v>
      </x:c>
      <x:c r="H682" s="10" t="n">
        <x:v>0</x:v>
      </x:c>
      <x:c r="I682" t="n">
        <x:v>0</x:v>
      </x:c>
      <x:c r="J682" s="6" t="n">
        <x:v>0</x:v>
      </x:c>
    </x:row>
    <x:row r="683">
      <x:c r="A683" t="str">
        <x:v>cubierta 165</x:v>
      </x:c>
      <x:c r="B683" t="str">
        <x:v>Otro</x:v>
      </x:c>
      <x:c r="C683" t="n">
        <x:v>1</x:v>
      </x:c>
      <x:c r="D683" t="n">
        <x:v>1</x:v>
      </x:c>
      <x:c r="E683" t="n">
        <x:v>0</x:v>
      </x:c>
      <x:c r="F683" t="n">
        <x:v>0</x:v>
      </x:c>
      <x:c r="G683" s="10" t="n">
        <x:v>0</x:v>
      </x:c>
      <x:c r="H683" s="10" t="n">
        <x:v>0</x:v>
      </x:c>
      <x:c r="I683" t="n">
        <x:v>0</x:v>
      </x:c>
      <x:c r="J683" s="6" t="n">
        <x:v>0</x:v>
      </x:c>
    </x:row>
    <x:row r="684">
      <x:c r="A684" t="str">
        <x:v>215 70 16</x:v>
      </x:c>
      <x:c r="B684" t="str">
        <x:v>Medida</x:v>
      </x:c>
      <x:c r="C684" t="n">
        <x:v>1</x:v>
      </x:c>
      <x:c r="D684" t="n">
        <x:v>1</x:v>
      </x:c>
      <x:c r="E684" t="n">
        <x:v>0</x:v>
      </x:c>
      <x:c r="F684" t="n">
        <x:v>0</x:v>
      </x:c>
      <x:c r="G684" s="10" t="n">
        <x:v>0</x:v>
      </x:c>
      <x:c r="H684" s="10" t="n">
        <x:v>0</x:v>
      </x:c>
      <x:c r="I684" t="n">
        <x:v>0</x:v>
      </x:c>
      <x:c r="J684" s="6" t="n">
        <x:v>0</x:v>
      </x:c>
    </x:row>
    <x:row r="685">
      <x:c r="A685" t="str">
        <x:v>235-35-zr20-michelin-pilot-sport-4-s-n0-92-y-</x:v>
      </x:c>
      <x:c r="B685" t="str">
        <x:v>Otro</x:v>
      </x:c>
      <x:c r="C685" t="n">
        <x:v>1</x:v>
      </x:c>
      <x:c r="D685" t="n">
        <x:v>1</x:v>
      </x:c>
      <x:c r="E685" t="n">
        <x:v>0</x:v>
      </x:c>
      <x:c r="F685" t="n">
        <x:v>0</x:v>
      </x:c>
      <x:c r="G685" s="10" t="n">
        <x:v>0</x:v>
      </x:c>
      <x:c r="H685" s="10" t="n">
        <x:v>0</x:v>
      </x:c>
      <x:c r="I685" t="n">
        <x:v>0</x:v>
      </x:c>
      <x:c r="J685" s="6" t="n">
        <x:v>0</x:v>
      </x:c>
    </x:row>
    <x:row r="686">
      <x:c r="A686" t="str">
        <x:v>bf</x:v>
      </x:c>
      <x:c r="B686" t="str">
        <x:v>Otro</x:v>
      </x:c>
      <x:c r="C686" t="n">
        <x:v>1</x:v>
      </x:c>
      <x:c r="D686" t="n">
        <x:v>1</x:v>
      </x:c>
      <x:c r="E686" t="n">
        <x:v>0</x:v>
      </x:c>
      <x:c r="F686" t="n">
        <x:v>0</x:v>
      </x:c>
      <x:c r="G686" s="10" t="n">
        <x:v>0</x:v>
      </x:c>
      <x:c r="H686" s="10" t="n">
        <x:v>0</x:v>
      </x:c>
      <x:c r="I686" t="n">
        <x:v>0</x:v>
      </x:c>
      <x:c r="J686" s="6" t="n">
        <x:v>0</x:v>
      </x:c>
    </x:row>
    <x:row r="687">
      <x:c r="A687" t="str">
        <x:v>255 55 17</x:v>
      </x:c>
      <x:c r="B687" t="str">
        <x:v>Medida</x:v>
      </x:c>
      <x:c r="C687" t="n">
        <x:v>1</x:v>
      </x:c>
      <x:c r="D687" t="n">
        <x:v>1</x:v>
      </x:c>
      <x:c r="E687" t="n">
        <x:v>0</x:v>
      </x:c>
      <x:c r="F687" t="n">
        <x:v>0</x:v>
      </x:c>
      <x:c r="G687" s="10" t="n">
        <x:v>0</x:v>
      </x:c>
      <x:c r="H687" s="10" t="n">
        <x:v>0</x:v>
      </x:c>
      <x:c r="I687" t="n">
        <x:v>0</x:v>
      </x:c>
      <x:c r="J687" s="6" t="n">
        <x:v>0</x:v>
      </x:c>
    </x:row>
    <x:row r="688">
      <x:c r="A688" t="str">
        <x:v>michelin 235</x:v>
      </x:c>
      <x:c r="B688" t="str">
        <x:v>Otro</x:v>
      </x:c>
      <x:c r="C688" t="n">
        <x:v>1</x:v>
      </x:c>
      <x:c r="D688" t="n">
        <x:v>1</x:v>
      </x:c>
      <x:c r="E688" t="n">
        <x:v>0</x:v>
      </x:c>
      <x:c r="F688" t="n">
        <x:v>0</x:v>
      </x:c>
      <x:c r="G688" s="10" t="n">
        <x:v>0</x:v>
      </x:c>
      <x:c r="H688" s="10" t="n">
        <x:v>0</x:v>
      </x:c>
      <x:c r="I688" t="n">
        <x:v>0</x:v>
      </x:c>
      <x:c r="J688" s="6" t="n">
        <x:v>0</x:v>
      </x:c>
    </x:row>
    <x:row r="689">
      <x:c r="A689" t="str">
        <x:v>bf goodrich 265 70 17</x:v>
      </x:c>
      <x:c r="B689" t="str">
        <x:v>Medida</x:v>
      </x:c>
      <x:c r="C689" t="n">
        <x:v>1</x:v>
      </x:c>
      <x:c r="D689" t="n">
        <x:v>1</x:v>
      </x:c>
      <x:c r="E689" t="n">
        <x:v>0</x:v>
      </x:c>
      <x:c r="F689" t="n">
        <x:v>0</x:v>
      </x:c>
      <x:c r="G689" s="10" t="n">
        <x:v>0</x:v>
      </x:c>
      <x:c r="H689" s="10" t="n">
        <x:v>0</x:v>
      </x:c>
      <x:c r="I689" t="n">
        <x:v>0</x:v>
      </x:c>
      <x:c r="J689" s="6" t="n">
        <x:v>0</x:v>
      </x:c>
    </x:row>
    <x:row r="690">
      <x:c r="A690" t="str">
        <x:v>cubiertas 235</x:v>
      </x:c>
      <x:c r="B690" t="str">
        <x:v>Otro</x:v>
      </x:c>
      <x:c r="C690" t="n">
        <x:v>1</x:v>
      </x:c>
      <x:c r="D690" t="n">
        <x:v>1</x:v>
      </x:c>
      <x:c r="E690" t="n">
        <x:v>0</x:v>
      </x:c>
      <x:c r="F690" t="n">
        <x:v>0</x:v>
      </x:c>
      <x:c r="G690" s="10" t="n">
        <x:v>0</x:v>
      </x:c>
      <x:c r="H690" s="10" t="n">
        <x:v>0</x:v>
      </x:c>
      <x:c r="I690" t="n">
        <x:v>0</x:v>
      </x:c>
      <x:c r="J690" s="6" t="n">
        <x:v>0</x:v>
      </x:c>
    </x:row>
    <x:row r="691">
      <x:c r="A691" t="str">
        <x:v>205 60 r15</x:v>
      </x:c>
      <x:c r="B691" t="str">
        <x:v>Medida</x:v>
      </x:c>
      <x:c r="C691" t="n">
        <x:v>1</x:v>
      </x:c>
      <x:c r="D691" t="n">
        <x:v>1</x:v>
      </x:c>
      <x:c r="E691" t="n">
        <x:v>0</x:v>
      </x:c>
      <x:c r="F691" t="n">
        <x:v>0</x:v>
      </x:c>
      <x:c r="G691" s="10" t="n">
        <x:v>0</x:v>
      </x:c>
      <x:c r="H691" s="10" t="n">
        <x:v>0</x:v>
      </x:c>
      <x:c r="I691" t="n">
        <x:v>0</x:v>
      </x:c>
      <x:c r="J691" s="6" t="n">
        <x:v>0</x:v>
      </x:c>
    </x:row>
    <x:row r="692">
      <x:c r="A692" t="str">
        <x:v>235 85 r16</x:v>
      </x:c>
      <x:c r="B692" t="str">
        <x:v>Medida</x:v>
      </x:c>
      <x:c r="C692" t="n">
        <x:v>1</x:v>
      </x:c>
      <x:c r="D692" t="n">
        <x:v>1</x:v>
      </x:c>
      <x:c r="E692" t="n">
        <x:v>0</x:v>
      </x:c>
      <x:c r="F692" t="n">
        <x:v>0</x:v>
      </x:c>
      <x:c r="G692" s="10" t="n">
        <x:v>0</x:v>
      </x:c>
      <x:c r="H692" s="10" t="n">
        <x:v>0</x:v>
      </x:c>
      <x:c r="I692" t="n">
        <x:v>0</x:v>
      </x:c>
      <x:c r="J692" s="6" t="n">
        <x:v>0</x:v>
      </x:c>
    </x:row>
    <x:row r="693">
      <x:c r="A693" t="str">
        <x:v>245 40 r18</x:v>
      </x:c>
      <x:c r="B693" t="str">
        <x:v>Medida</x:v>
      </x:c>
      <x:c r="C693" t="n">
        <x:v>1</x:v>
      </x:c>
      <x:c r="D693" t="n">
        <x:v>1</x:v>
      </x:c>
      <x:c r="E693" t="n">
        <x:v>4</x:v>
      </x:c>
      <x:c r="F693" t="n">
        <x:v>1</x:v>
      </x:c>
      <x:c r="G693" s="10" t="n">
        <x:v>4</x:v>
      </x:c>
      <x:c r="H693" s="10" t="n">
        <x:v>0</x:v>
      </x:c>
      <x:c r="I693" t="n">
        <x:v>0</x:v>
      </x:c>
      <x:c r="J693" s="6" t="n">
        <x:v>0</x:v>
      </x:c>
    </x:row>
    <x:row r="694">
      <x:c r="A694" t="str">
        <x:v>michelin. léxico at2</x:v>
      </x:c>
      <x:c r="B694" t="str">
        <x:v>Otro</x:v>
      </x:c>
      <x:c r="C694" t="n">
        <x:v>1</x:v>
      </x:c>
      <x:c r="D694" t="n">
        <x:v>1</x:v>
      </x:c>
      <x:c r="E694" t="n">
        <x:v>0</x:v>
      </x:c>
      <x:c r="F694" t="n">
        <x:v>0</x:v>
      </x:c>
      <x:c r="G694" s="10" t="n">
        <x:v>0</x:v>
      </x:c>
      <x:c r="H694" s="10" t="n">
        <x:v>0</x:v>
      </x:c>
      <x:c r="I694" t="n">
        <x:v>0</x:v>
      </x:c>
      <x:c r="J694" s="6" t="n">
        <x:v>0</x:v>
      </x:c>
    </x:row>
    <x:row r="695">
      <x:c r="A695" t="str">
        <x:v>sport cup 2</x:v>
      </x:c>
      <x:c r="B695" t="str">
        <x:v>Otro</x:v>
      </x:c>
      <x:c r="C695" t="n">
        <x:v>1</x:v>
      </x:c>
      <x:c r="D695" t="n">
        <x:v>1</x:v>
      </x:c>
      <x:c r="E695" t="n">
        <x:v>0</x:v>
      </x:c>
      <x:c r="F695" t="n">
        <x:v>0</x:v>
      </x:c>
      <x:c r="G695" s="10" t="n">
        <x:v>0</x:v>
      </x:c>
      <x:c r="H695" s="10" t="n">
        <x:v>0</x:v>
      </x:c>
      <x:c r="I695" t="n">
        <x:v>0</x:v>
      </x:c>
      <x:c r="J695" s="6" t="n">
        <x:v>0</x:v>
      </x:c>
    </x:row>
    <x:row r="696">
      <x:c r="A696" t="str">
        <x:v>trx</x:v>
      </x:c>
      <x:c r="B696" t="str">
        <x:v>Otro</x:v>
      </x:c>
      <x:c r="C696" t="n">
        <x:v>1</x:v>
      </x:c>
      <x:c r="D696" t="n">
        <x:v>1</x:v>
      </x:c>
      <x:c r="E696" t="n">
        <x:v>0</x:v>
      </x:c>
      <x:c r="F696" t="n">
        <x:v>0</x:v>
      </x:c>
      <x:c r="G696" s="10" t="n">
        <x:v>0</x:v>
      </x:c>
      <x:c r="H696" s="10" t="n">
        <x:v>0</x:v>
      </x:c>
      <x:c r="I696" t="n">
        <x:v>0</x:v>
      </x:c>
      <x:c r="J696" s="6" t="n">
        <x:v>0</x:v>
      </x:c>
    </x:row>
    <x:row r="697">
      <x:c r="A697" t="str">
        <x:v>205-65-r15-mastersteel-prosport-94h-1</x:v>
      </x:c>
      <x:c r="B697" t="str">
        <x:v>Producto / URL</x:v>
      </x:c>
      <x:c r="C697" t="n">
        <x:v>1</x:v>
      </x:c>
      <x:c r="D697" t="n">
        <x:v>1</x:v>
      </x:c>
      <x:c r="E697" t="n">
        <x:v>0</x:v>
      </x:c>
      <x:c r="F697" t="n">
        <x:v>0</x:v>
      </x:c>
      <x:c r="G697" s="10" t="n">
        <x:v>0</x:v>
      </x:c>
      <x:c r="H697" s="10" t="n">
        <x:v>0</x:v>
      </x:c>
      <x:c r="I697" t="n">
        <x:v>0</x:v>
      </x:c>
      <x:c r="J697" s="6" t="n">
        <x:v>0</x:v>
      </x:c>
    </x:row>
    <x:row r="698">
      <x:c r="A698" t="str">
        <x:v>1000 90 19</x:v>
      </x:c>
      <x:c r="B698" t="str">
        <x:v>Medida</x:v>
      </x:c>
      <x:c r="C698" t="n">
        <x:v>1</x:v>
      </x:c>
      <x:c r="D698" t="n">
        <x:v>1</x:v>
      </x:c>
      <x:c r="E698" t="n">
        <x:v>0</x:v>
      </x:c>
      <x:c r="F698" t="n">
        <x:v>0</x:v>
      </x:c>
      <x:c r="G698" s="10" t="n">
        <x:v>0</x:v>
      </x:c>
      <x:c r="H698" s="10" t="n">
        <x:v>0</x:v>
      </x:c>
      <x:c r="I698" t="n">
        <x:v>0</x:v>
      </x:c>
      <x:c r="J698" s="6" t="n">
        <x:v>0</x:v>
      </x:c>
    </x:row>
    <x:row r="699">
      <x:c r="A699" t="str">
        <x:v>205 70 14</x:v>
      </x:c>
      <x:c r="B699" t="str">
        <x:v>Medida</x:v>
      </x:c>
      <x:c r="C699" t="n">
        <x:v>1</x:v>
      </x:c>
      <x:c r="D699" t="n">
        <x:v>1</x:v>
      </x:c>
      <x:c r="E699" t="n">
        <x:v>0</x:v>
      </x:c>
      <x:c r="F699" t="n">
        <x:v>0</x:v>
      </x:c>
      <x:c r="G699" s="10" t="n">
        <x:v>0</x:v>
      </x:c>
      <x:c r="H699" s="10" t="n">
        <x:v>0</x:v>
      </x:c>
      <x:c r="I699" t="n">
        <x:v>0</x:v>
      </x:c>
      <x:c r="J699" s="6" t="n">
        <x:v>0</x:v>
      </x:c>
    </x:row>
    <x:row r="700">
      <x:c r="A700" t="str">
        <x:v>50 R18</x:v>
      </x:c>
      <x:c r="B700" t="str">
        <x:v>Otro</x:v>
      </x:c>
      <x:c r="C700" t="n">
        <x:v>1</x:v>
      </x:c>
      <x:c r="D700" t="n">
        <x:v>1</x:v>
      </x:c>
      <x:c r="E700" t="n">
        <x:v>0</x:v>
      </x:c>
      <x:c r="F700" t="n">
        <x:v>0</x:v>
      </x:c>
      <x:c r="G700" s="10" t="n">
        <x:v>0</x:v>
      </x:c>
      <x:c r="H700" s="10" t="n">
        <x:v>0</x:v>
      </x:c>
      <x:c r="I700" t="n">
        <x:v>0</x:v>
      </x:c>
      <x:c r="J700" s="6" t="n">
        <x:v>0</x:v>
      </x:c>
    </x:row>
    <x:row r="701">
      <x:c r="A701" t="str">
        <x:v>265 60 17</x:v>
      </x:c>
      <x:c r="B701" t="str">
        <x:v>Medida</x:v>
      </x:c>
      <x:c r="C701" t="n">
        <x:v>1</x:v>
      </x:c>
      <x:c r="D701" t="n">
        <x:v>1</x:v>
      </x:c>
      <x:c r="E701" t="n">
        <x:v>0</x:v>
      </x:c>
      <x:c r="F701" t="n">
        <x:v>0</x:v>
      </x:c>
      <x:c r="G701" s="10" t="n">
        <x:v>0</x:v>
      </x:c>
      <x:c r="H701" s="10" t="n">
        <x:v>0</x:v>
      </x:c>
      <x:c r="I701" t="n">
        <x:v>0</x:v>
      </x:c>
      <x:c r="J701" s="6" t="n">
        <x:v>0</x:v>
      </x:c>
    </x:row>
    <x:row r="702">
      <x:c r="A702" t="str">
        <x:v>221</x:v>
      </x:c>
      <x:c r="B702" t="str">
        <x:v>Otro</x:v>
      </x:c>
      <x:c r="C702" t="n">
        <x:v>1</x:v>
      </x:c>
      <x:c r="D702" t="n">
        <x:v>1</x:v>
      </x:c>
      <x:c r="E702" t="n">
        <x:v>0</x:v>
      </x:c>
      <x:c r="F702" t="n">
        <x:v>0</x:v>
      </x:c>
      <x:c r="G702" s="10" t="n">
        <x:v>0</x:v>
      </x:c>
      <x:c r="H702" s="10" t="n">
        <x:v>0</x:v>
      </x:c>
      <x:c r="I702" t="n">
        <x:v>0</x:v>
      </x:c>
      <x:c r="J702" s="6" t="n">
        <x:v>0</x:v>
      </x:c>
    </x:row>
    <x:row r="703">
      <x:c r="A703" t="str">
        <x:v>205 55 16 w</x:v>
      </x:c>
      <x:c r="B703" t="str">
        <x:v>Medida</x:v>
      </x:c>
      <x:c r="C703" t="n">
        <x:v>1</x:v>
      </x:c>
      <x:c r="D703" t="n">
        <x:v>1</x:v>
      </x:c>
      <x:c r="E703" t="n">
        <x:v>0</x:v>
      </x:c>
      <x:c r="F703" t="n">
        <x:v>0</x:v>
      </x:c>
      <x:c r="G703" s="10" t="n">
        <x:v>0</x:v>
      </x:c>
      <x:c r="H703" s="10" t="n">
        <x:v>0</x:v>
      </x:c>
      <x:c r="I703" t="n">
        <x:v>0</x:v>
      </x:c>
      <x:c r="J703" s="6" t="n">
        <x:v>0</x:v>
      </x:c>
    </x:row>
    <x:row r="704">
      <x:c r="A704" t="str">
        <x:v>100 80 17</x:v>
      </x:c>
      <x:c r="B704" t="str">
        <x:v>Medida</x:v>
      </x:c>
      <x:c r="C704" t="n">
        <x:v>1</x:v>
      </x:c>
      <x:c r="D704" t="n">
        <x:v>1</x:v>
      </x:c>
      <x:c r="E704" t="n">
        <x:v>1</x:v>
      </x:c>
      <x:c r="F704" t="n">
        <x:v>1</x:v>
      </x:c>
      <x:c r="G704" s="10" t="n">
        <x:v>1</x:v>
      </x:c>
      <x:c r="H704" s="10" t="n">
        <x:v>0</x:v>
      </x:c>
      <x:c r="I704" t="n">
        <x:v>0</x:v>
      </x:c>
      <x:c r="J704" s="6" t="n">
        <x:v>0</x:v>
      </x:c>
    </x:row>
    <x:row r="705">
      <x:c r="A705" t="str">
        <x:v>205 40 r17</x:v>
      </x:c>
      <x:c r="B705" t="str">
        <x:v>Medida</x:v>
      </x:c>
      <x:c r="C705" t="n">
        <x:v>1</x:v>
      </x:c>
      <x:c r="D705" t="n">
        <x:v>1</x:v>
      </x:c>
      <x:c r="E705" t="n">
        <x:v>0</x:v>
      </x:c>
      <x:c r="F705" t="n">
        <x:v>0</x:v>
      </x:c>
      <x:c r="G705" s="10" t="n">
        <x:v>0</x:v>
      </x:c>
      <x:c r="H705" s="10" t="n">
        <x:v>0</x:v>
      </x:c>
      <x:c r="I705" t="n">
        <x:v>0</x:v>
      </x:c>
      <x:c r="J705" s="6" t="n">
        <x:v>0</x:v>
      </x:c>
    </x:row>
    <x:row r="706">
      <x:c r="A706" t="str">
        <x:v>goodrich</x:v>
      </x:c>
      <x:c r="B706" t="str">
        <x:v>Otro</x:v>
      </x:c>
      <x:c r="C706" t="n">
        <x:v>1</x:v>
      </x:c>
      <x:c r="D706" t="n">
        <x:v>1</x:v>
      </x:c>
      <x:c r="E706" t="n">
        <x:v>0</x:v>
      </x:c>
      <x:c r="F706" t="n">
        <x:v>0</x:v>
      </x:c>
      <x:c r="G706" s="10" t="n">
        <x:v>0</x:v>
      </x:c>
      <x:c r="H706" s="10" t="n">
        <x:v>0</x:v>
      </x:c>
      <x:c r="I706" t="n">
        <x:v>0</x:v>
      </x:c>
      <x:c r="J706" s="6" t="n">
        <x:v>0</x:v>
      </x:c>
    </x:row>
    <x:row r="707">
      <x:c r="A707" t="str">
        <x:v>📌 producto: michelin 215</x:v>
      </x:c>
      <x:c r="B707" t="str">
        <x:v>Otro</x:v>
      </x:c>
      <x:c r="C707" t="n">
        <x:v>1</x:v>
      </x:c>
      <x:c r="D707" t="n">
        <x:v>1</x:v>
      </x:c>
      <x:c r="E707" t="n">
        <x:v>0</x:v>
      </x:c>
      <x:c r="F707" t="n">
        <x:v>0</x:v>
      </x:c>
      <x:c r="G707" s="10" t="n">
        <x:v>0</x:v>
      </x:c>
      <x:c r="H707" s="10" t="n">
        <x:v>0</x:v>
      </x:c>
      <x:c r="I707" t="n">
        <x:v>0</x:v>
      </x:c>
      <x:c r="J707" s="6" t="n">
        <x:v>0</x:v>
      </x:c>
    </x:row>
    <x:row r="708">
      <x:c r="A708" t="str">
        <x:v>265 65 17</x:v>
      </x:c>
      <x:c r="B708" t="str">
        <x:v>Medida</x:v>
      </x:c>
      <x:c r="C708" t="n">
        <x:v>1</x:v>
      </x:c>
      <x:c r="D708" t="n">
        <x:v>1</x:v>
      </x:c>
      <x:c r="E708" t="n">
        <x:v>0</x:v>
      </x:c>
      <x:c r="F708" t="n">
        <x:v>0</x:v>
      </x:c>
      <x:c r="G708" s="10" t="n">
        <x:v>0</x:v>
      </x:c>
      <x:c r="H708" s="10" t="n">
        <x:v>0</x:v>
      </x:c>
      <x:c r="I708" t="n">
        <x:v>0</x:v>
      </x:c>
      <x:c r="J708" s="6" t="n">
        <x:v>0</x:v>
      </x:c>
    </x:row>
    <x:row r="709">
      <x:c r="A709" t="str">
        <x:v>215-65-r17-michelin-primacy-3-99v</x:v>
      </x:c>
      <x:c r="B709" t="str">
        <x:v>Producto / URL</x:v>
      </x:c>
      <x:c r="C709" t="n">
        <x:v>1</x:v>
      </x:c>
      <x:c r="D709" t="n">
        <x:v>1</x:v>
      </x:c>
      <x:c r="E709" t="n">
        <x:v>0</x:v>
      </x:c>
      <x:c r="F709" t="n">
        <x:v>0</x:v>
      </x:c>
      <x:c r="G709" s="10" t="n">
        <x:v>0</x:v>
      </x:c>
      <x:c r="H709" s="10" t="n">
        <x:v>0</x:v>
      </x:c>
      <x:c r="I709" t="n">
        <x:v>0</x:v>
      </x:c>
      <x:c r="J709" s="6" t="n">
        <x:v>0</x:v>
      </x:c>
    </x:row>
    <x:row r="710">
      <x:c r="A710" t="str">
        <x:v>ltx m</x:v>
      </x:c>
      <x:c r="B710" t="str">
        <x:v>Otro</x:v>
      </x:c>
      <x:c r="C710" t="n">
        <x:v>1</x:v>
      </x:c>
      <x:c r="D710" t="n">
        <x:v>1</x:v>
      </x:c>
      <x:c r="E710" t="n">
        <x:v>0</x:v>
      </x:c>
      <x:c r="F710" t="n">
        <x:v>0</x:v>
      </x:c>
      <x:c r="G710" s="10" t="n">
        <x:v>0</x:v>
      </x:c>
      <x:c r="H710" s="10" t="n">
        <x:v>0</x:v>
      </x:c>
      <x:c r="I710" t="n">
        <x:v>0</x:v>
      </x:c>
      <x:c r="J710" s="6" t="n">
        <x:v>0</x:v>
      </x:c>
    </x:row>
    <x:row r="711">
      <x:c r="A711" t="str">
        <x:v>245 70 17</x:v>
      </x:c>
      <x:c r="B711" t="str">
        <x:v>Medida</x:v>
      </x:c>
      <x:c r="C711" t="n">
        <x:v>1</x:v>
      </x:c>
      <x:c r="D711" t="n">
        <x:v>1</x:v>
      </x:c>
      <x:c r="E711" t="n">
        <x:v>0</x:v>
      </x:c>
      <x:c r="F711" t="n">
        <x:v>0</x:v>
      </x:c>
      <x:c r="G711" s="10" t="n">
        <x:v>0</x:v>
      </x:c>
      <x:c r="H711" s="10" t="n">
        <x:v>0</x:v>
      </x:c>
      <x:c r="I711" t="n">
        <x:v>0</x:v>
      </x:c>
      <x:c r="J711" s="6" t="n">
        <x:v>0</x:v>
      </x:c>
    </x:row>
    <x:row r="712">
      <x:c r="A712" t="str">
        <x:v>265 65</x:v>
      </x:c>
      <x:c r="B712" t="str">
        <x:v>Otro</x:v>
      </x:c>
      <x:c r="C712" t="n">
        <x:v>1</x:v>
      </x:c>
      <x:c r="D712" t="n">
        <x:v>1</x:v>
      </x:c>
      <x:c r="E712" t="n">
        <x:v>0</x:v>
      </x:c>
      <x:c r="F712" t="n">
        <x:v>0</x:v>
      </x:c>
      <x:c r="G712" s="10" t="n">
        <x:v>0</x:v>
      </x:c>
      <x:c r="H712" s="10" t="n">
        <x:v>0</x:v>
      </x:c>
      <x:c r="I712" t="n">
        <x:v>0</x:v>
      </x:c>
      <x:c r="J712" s="6" t="n">
        <x:v>0</x:v>
      </x:c>
    </x:row>
    <x:row r="713">
      <x:c r="A713" t="str">
        <x:v>90 90 19</x:v>
      </x:c>
      <x:c r="B713" t="str">
        <x:v>Otro</x:v>
      </x:c>
      <x:c r="C713" t="n">
        <x:v>1</x:v>
      </x:c>
      <x:c r="D713" t="n">
        <x:v>1</x:v>
      </x:c>
      <x:c r="E713" t="n">
        <x:v>0</x:v>
      </x:c>
      <x:c r="F713" t="n">
        <x:v>0</x:v>
      </x:c>
      <x:c r="G713" s="10" t="n">
        <x:v>0</x:v>
      </x:c>
      <x:c r="H713" s="10" t="n">
        <x:v>0</x:v>
      </x:c>
      <x:c r="I713" t="n">
        <x:v>0</x:v>
      </x:c>
      <x:c r="J713" s="6" t="n">
        <x:v>0</x:v>
      </x:c>
    </x:row>
    <x:row r="714">
      <x:c r="A714" t="str">
        <x:v>45r17</x:v>
      </x:c>
      <x:c r="B714" t="str">
        <x:v>Otro</x:v>
      </x:c>
      <x:c r="C714" t="n">
        <x:v>1</x:v>
      </x:c>
      <x:c r="D714" t="n">
        <x:v>1</x:v>
      </x:c>
      <x:c r="E714" t="n">
        <x:v>0</x:v>
      </x:c>
      <x:c r="F714" t="n">
        <x:v>0</x:v>
      </x:c>
      <x:c r="G714" s="10" t="n">
        <x:v>0</x:v>
      </x:c>
      <x:c r="H714" s="10" t="n">
        <x:v>0</x:v>
      </x:c>
      <x:c r="I714" t="n">
        <x:v>0</x:v>
      </x:c>
      <x:c r="J714" s="6" t="n">
        <x:v>0</x:v>
      </x:c>
    </x:row>
    <x:row r="715">
      <x:c r="A715" t="str">
        <x:v>rodado 15</x:v>
      </x:c>
      <x:c r="B715" t="str">
        <x:v>Otro</x:v>
      </x:c>
      <x:c r="C715" t="n">
        <x:v>1</x:v>
      </x:c>
      <x:c r="D715" t="n">
        <x:v>1</x:v>
      </x:c>
      <x:c r="E715" t="n">
        <x:v>0</x:v>
      </x:c>
      <x:c r="F715" t="n">
        <x:v>0</x:v>
      </x:c>
      <x:c r="G715" s="10" t="n">
        <x:v>0</x:v>
      </x:c>
      <x:c r="H715" s="10" t="n">
        <x:v>0</x:v>
      </x:c>
      <x:c r="I715" t="n">
        <x:v>0</x:v>
      </x:c>
      <x:c r="J715" s="6" t="n">
        <x:v>0</x:v>
      </x:c>
    </x:row>
    <x:row r="716">
      <x:c r="A716" t="str">
        <x:v>grand cherokee</x:v>
      </x:c>
      <x:c r="B716" t="str">
        <x:v>Otro</x:v>
      </x:c>
      <x:c r="C716" t="n">
        <x:v>1</x:v>
      </x:c>
      <x:c r="D716" t="n">
        <x:v>1</x:v>
      </x:c>
      <x:c r="E716" t="n">
        <x:v>0</x:v>
      </x:c>
      <x:c r="F716" t="n">
        <x:v>0</x:v>
      </x:c>
      <x:c r="G716" s="10" t="n">
        <x:v>0</x:v>
      </x:c>
      <x:c r="H716" s="10" t="n">
        <x:v>0</x:v>
      </x:c>
      <x:c r="I716" t="n">
        <x:v>0</x:v>
      </x:c>
      <x:c r="J716" s="6" t="n">
        <x:v>0</x:v>
      </x:c>
    </x:row>
    <x:row r="717">
      <x:c r="A717" t="str">
        <x:v>195 70 r14</x:v>
      </x:c>
      <x:c r="B717" t="str">
        <x:v>Medida</x:v>
      </x:c>
      <x:c r="C717" t="n">
        <x:v>1</x:v>
      </x:c>
      <x:c r="D717" t="n">
        <x:v>1</x:v>
      </x:c>
      <x:c r="E717" t="n">
        <x:v>1</x:v>
      </x:c>
      <x:c r="F717" t="n">
        <x:v>1</x:v>
      </x:c>
      <x:c r="G717" s="10" t="n">
        <x:v>1</x:v>
      </x:c>
      <x:c r="H717" s="10" t="n">
        <x:v>0</x:v>
      </x:c>
      <x:c r="I717" t="n">
        <x:v>0</x:v>
      </x:c>
      <x:c r="J717" s="6" t="n">
        <x:v>0</x:v>
      </x:c>
    </x:row>
    <x:row r="718">
      <x:c r="A718" t="str">
        <x:v>goodrich 19</x:v>
      </x:c>
      <x:c r="B718" t="str">
        <x:v>Otro</x:v>
      </x:c>
      <x:c r="C718" t="n">
        <x:v>1</x:v>
      </x:c>
      <x:c r="D718" t="n">
        <x:v>1</x:v>
      </x:c>
      <x:c r="E718" t="n">
        <x:v>0</x:v>
      </x:c>
      <x:c r="F718" t="n">
        <x:v>0</x:v>
      </x:c>
      <x:c r="G718" s="10" t="n">
        <x:v>0</x:v>
      </x:c>
      <x:c r="H718" s="10" t="n">
        <x:v>0</x:v>
      </x:c>
      <x:c r="I718" t="n">
        <x:v>0</x:v>
      </x:c>
      <x:c r="J718" s="6" t="n">
        <x:v>0</x:v>
      </x:c>
    </x:row>
    <x:row r="719">
      <x:c r="A719" t="str">
        <x:v>248</x:v>
      </x:c>
      <x:c r="B719" t="str">
        <x:v>Otro</x:v>
      </x:c>
      <x:c r="C719" t="n">
        <x:v>1</x:v>
      </x:c>
      <x:c r="D719" t="n">
        <x:v>1</x:v>
      </x:c>
      <x:c r="E719" t="n">
        <x:v>0</x:v>
      </x:c>
      <x:c r="F719" t="n">
        <x:v>0</x:v>
      </x:c>
      <x:c r="G719" s="10" t="n">
        <x:v>0</x:v>
      </x:c>
      <x:c r="H719" s="10" t="n">
        <x:v>0</x:v>
      </x:c>
      <x:c r="I719" t="n">
        <x:v>0</x:v>
      </x:c>
      <x:c r="J719" s="6" t="n">
        <x:v>0</x:v>
      </x:c>
    </x:row>
    <x:row r="720">
      <x:c r="A720" t="str">
        <x:v>215 65 1</x:v>
      </x:c>
      <x:c r="B720" t="str">
        <x:v>Otro</x:v>
      </x:c>
      <x:c r="C720" t="n">
        <x:v>1</x:v>
      </x:c>
      <x:c r="D720" t="n">
        <x:v>1</x:v>
      </x:c>
      <x:c r="E720" t="n">
        <x:v>0</x:v>
      </x:c>
      <x:c r="F720" t="n">
        <x:v>0</x:v>
      </x:c>
      <x:c r="G720" s="10" t="n">
        <x:v>0</x:v>
      </x:c>
      <x:c r="H720" s="10" t="n">
        <x:v>0</x:v>
      </x:c>
      <x:c r="I720" t="n">
        <x:v>0</x:v>
      </x:c>
      <x:c r="J720" s="6" t="n">
        <x:v>0</x:v>
      </x:c>
    </x:row>
    <x:row r="721">
      <x:c r="A721" t="str">
        <x:v>275-40-r19-michelin-primacy-3-run-flat-bmw-101y</x:v>
      </x:c>
      <x:c r="B721" t="str">
        <x:v>Producto / URL</x:v>
      </x:c>
      <x:c r="C721" t="n">
        <x:v>1</x:v>
      </x:c>
      <x:c r="D721" t="n">
        <x:v>1</x:v>
      </x:c>
      <x:c r="E721" t="n">
        <x:v>0</x:v>
      </x:c>
      <x:c r="F721" t="n">
        <x:v>0</x:v>
      </x:c>
      <x:c r="G721" s="10" t="n">
        <x:v>0</x:v>
      </x:c>
      <x:c r="H721" s="10" t="n">
        <x:v>0</x:v>
      </x:c>
      <x:c r="I721" t="n">
        <x:v>0</x:v>
      </x:c>
      <x:c r="J721" s="6" t="n">
        <x:v>0</x:v>
      </x:c>
    </x:row>
    <x:row r="722">
      <x:c r="A722" t="str">
        <x:v>valvulas</x:v>
      </x:c>
      <x:c r="B722" t="str">
        <x:v>Otro</x:v>
      </x:c>
      <x:c r="C722" t="n">
        <x:v>1</x:v>
      </x:c>
      <x:c r="D722" t="n">
        <x:v>1</x:v>
      </x:c>
      <x:c r="E722" t="n">
        <x:v>0</x:v>
      </x:c>
      <x:c r="F722" t="n">
        <x:v>0</x:v>
      </x:c>
      <x:c r="G722" s="10" t="n">
        <x:v>0</x:v>
      </x:c>
      <x:c r="H722" s="10" t="n">
        <x:v>0</x:v>
      </x:c>
      <x:c r="I722" t="n">
        <x:v>0</x:v>
      </x:c>
      <x:c r="J722" s="6" t="n">
        <x:v>0</x:v>
      </x:c>
    </x:row>
    <x:row r="723">
      <x:c r="A723" t="str">
        <x:v>255-55-r20-michelin-pilot-sport-4-suv-110y</x:v>
      </x:c>
      <x:c r="B723" t="str">
        <x:v>Producto / URL</x:v>
      </x:c>
      <x:c r="C723" t="n">
        <x:v>1</x:v>
      </x:c>
      <x:c r="D723" t="n">
        <x:v>1</x:v>
      </x:c>
      <x:c r="E723" t="n">
        <x:v>0</x:v>
      </x:c>
      <x:c r="F723" t="n">
        <x:v>0</x:v>
      </x:c>
      <x:c r="G723" s="10" t="n">
        <x:v>0</x:v>
      </x:c>
      <x:c r="H723" s="10" t="n">
        <x:v>0</x:v>
      </x:c>
      <x:c r="I723" t="n">
        <x:v>0</x:v>
      </x:c>
      <x:c r="J723" s="6" t="n">
        <x:v>0</x:v>
      </x:c>
    </x:row>
    <x:row r="724">
      <x:c r="A724" t="str">
        <x:v>245 75 r16</x:v>
      </x:c>
      <x:c r="B724" t="str">
        <x:v>Medida</x:v>
      </x:c>
      <x:c r="C724" t="n">
        <x:v>1</x:v>
      </x:c>
      <x:c r="D724" t="n">
        <x:v>1</x:v>
      </x:c>
      <x:c r="E724" t="n">
        <x:v>0</x:v>
      </x:c>
      <x:c r="F724" t="n">
        <x:v>0</x:v>
      </x:c>
      <x:c r="G724" s="10" t="n">
        <x:v>0</x:v>
      </x:c>
      <x:c r="H724" s="10" t="n">
        <x:v>0</x:v>
      </x:c>
      <x:c r="I724" t="n">
        <x:v>0</x:v>
      </x:c>
      <x:c r="J724" s="6" t="n">
        <x:v>0</x:v>
      </x:c>
    </x:row>
    <x:row r="725">
      <x:c r="A725" t="str">
        <x:v>265-50-r20-michelin-latitude-sport-3-111y</x:v>
      </x:c>
      <x:c r="B725" t="str">
        <x:v>Producto / URL</x:v>
      </x:c>
      <x:c r="C725" t="n">
        <x:v>1</x:v>
      </x:c>
      <x:c r="D725" t="n">
        <x:v>1</x:v>
      </x:c>
      <x:c r="E725" t="n">
        <x:v>0</x:v>
      </x:c>
      <x:c r="F725" t="n">
        <x:v>0</x:v>
      </x:c>
      <x:c r="G725" s="10" t="n">
        <x:v>0</x:v>
      </x:c>
      <x:c r="H725" s="10" t="n">
        <x:v>0</x:v>
      </x:c>
      <x:c r="I725" t="n">
        <x:v>0</x:v>
      </x:c>
      <x:c r="J725" s="6" t="n">
        <x:v>0</x:v>
      </x:c>
    </x:row>
    <x:row r="726">
      <x:c r="A726" t="str">
        <x:v>175 65 13</x:v>
      </x:c>
      <x:c r="B726" t="str">
        <x:v>Medida</x:v>
      </x:c>
      <x:c r="C726" t="n">
        <x:v>1</x:v>
      </x:c>
      <x:c r="D726" t="n">
        <x:v>1</x:v>
      </x:c>
      <x:c r="E726" t="n">
        <x:v>0</x:v>
      </x:c>
      <x:c r="F726" t="n">
        <x:v>0</x:v>
      </x:c>
      <x:c r="G726" s="10" t="n">
        <x:v>0</x:v>
      </x:c>
      <x:c r="H726" s="10" t="n">
        <x:v>0</x:v>
      </x:c>
      <x:c r="I726" t="n">
        <x:v>0</x:v>
      </x:c>
      <x:c r="J726" s="6" t="n">
        <x:v>0</x:v>
      </x:c>
    </x:row>
    <x:row r="727">
      <x:c r="A727" t="str">
        <x:v>265%2f60 r18 michelin ltx trail st 114h cupon 2da al 40% off</x:v>
      </x:c>
      <x:c r="B727" t="str">
        <x:v>Otro</x:v>
      </x:c>
      <x:c r="C727" t="n">
        <x:v>1</x:v>
      </x:c>
      <x:c r="D727" t="n">
        <x:v>1</x:v>
      </x:c>
      <x:c r="E727" t="n">
        <x:v>0</x:v>
      </x:c>
      <x:c r="F727" t="n">
        <x:v>0</x:v>
      </x:c>
      <x:c r="G727" s="10" t="n">
        <x:v>0</x:v>
      </x:c>
      <x:c r="H727" s="10" t="n">
        <x:v>0</x:v>
      </x:c>
      <x:c r="I727" t="n">
        <x:v>0</x:v>
      </x:c>
      <x:c r="J727" s="6" t="n">
        <x:v>0</x:v>
      </x:c>
    </x:row>
    <x:row r="728">
      <x:c r="A728" t="str">
        <x:v>255-70-r18-bfgoodrich-all-terrain-t-a-ko2-117-114s</x:v>
      </x:c>
      <x:c r="B728" t="str">
        <x:v>Producto / URL</x:v>
      </x:c>
      <x:c r="C728" t="n">
        <x:v>1</x:v>
      </x:c>
      <x:c r="D728" t="n">
        <x:v>1</x:v>
      </x:c>
      <x:c r="E728" t="n">
        <x:v>0</x:v>
      </x:c>
      <x:c r="F728" t="n">
        <x:v>0</x:v>
      </x:c>
      <x:c r="G728" s="10" t="n">
        <x:v>0</x:v>
      </x:c>
      <x:c r="H728" s="10" t="n">
        <x:v>0</x:v>
      </x:c>
      <x:c r="I728" t="n">
        <x:v>0</x:v>
      </x:c>
      <x:c r="J728" s="6" t="n">
        <x:v>0</x:v>
      </x:c>
    </x:row>
    <x:row r="729">
      <x:c r="A729" t="str">
        <x:v>kit x</x:v>
      </x:c>
      <x:c r="B729" t="str">
        <x:v>Otro</x:v>
      </x:c>
      <x:c r="C729" t="n">
        <x:v>1</x:v>
      </x:c>
      <x:c r="D729" t="n">
        <x:v>1</x:v>
      </x:c>
      <x:c r="E729" t="n">
        <x:v>0</x:v>
      </x:c>
      <x:c r="F729" t="n">
        <x:v>0</x:v>
      </x:c>
      <x:c r="G729" s="10" t="n">
        <x:v>0</x:v>
      </x:c>
      <x:c r="H729" s="10" t="n">
        <x:v>0</x:v>
      </x:c>
      <x:c r="I729" t="n">
        <x:v>0</x:v>
      </x:c>
      <x:c r="J729" s="6" t="n">
        <x:v>0</x:v>
      </x:c>
    </x:row>
    <x:row r="730">
      <x:c r="A730" t="str">
        <x:v>235 70 r17</x:v>
      </x:c>
      <x:c r="B730" t="str">
        <x:v>Medida</x:v>
      </x:c>
      <x:c r="C730" t="n">
        <x:v>1</x:v>
      </x:c>
      <x:c r="D730" t="n">
        <x:v>1</x:v>
      </x:c>
      <x:c r="E730" t="n">
        <x:v>1</x:v>
      </x:c>
      <x:c r="F730" t="n">
        <x:v>1</x:v>
      </x:c>
      <x:c r="G730" s="10" t="n">
        <x:v>1</x:v>
      </x:c>
      <x:c r="H730" s="10" t="n">
        <x:v>0</x:v>
      </x:c>
      <x:c r="I730" t="n">
        <x:v>0</x:v>
      </x:c>
      <x:c r="J730" s="6" t="n">
        <x:v>0</x:v>
      </x:c>
    </x:row>
    <x:row r="731">
      <x:c r="A731" t="str">
        <x:v>city grip 2</x:v>
      </x:c>
      <x:c r="B731" t="str">
        <x:v>Otro</x:v>
      </x:c>
      <x:c r="C731" t="n">
        <x:v>1</x:v>
      </x:c>
      <x:c r="D731" t="n">
        <x:v>1</x:v>
      </x:c>
      <x:c r="E731" t="n">
        <x:v>1</x:v>
      </x:c>
      <x:c r="F731" t="n">
        <x:v>1</x:v>
      </x:c>
      <x:c r="G731" s="10" t="n">
        <x:v>1</x:v>
      </x:c>
      <x:c r="H731" s="10" t="n">
        <x:v>0</x:v>
      </x:c>
      <x:c r="I731" t="n">
        <x:v>0</x:v>
      </x:c>
      <x:c r="J731" s="6" t="n">
        <x:v>0</x:v>
      </x:c>
    </x:row>
    <x:row r="732">
      <x:c r="A732" t="str">
        <x:v>cubierta para auto rodado 10</x:v>
      </x:c>
      <x:c r="B732" t="str">
        <x:v>Otro</x:v>
      </x:c>
      <x:c r="C732" t="n">
        <x:v>1</x:v>
      </x:c>
      <x:c r="D732" t="n">
        <x:v>1</x:v>
      </x:c>
      <x:c r="E732" t="n">
        <x:v>0</x:v>
      </x:c>
      <x:c r="F732" t="n">
        <x:v>0</x:v>
      </x:c>
      <x:c r="G732" s="10" t="n">
        <x:v>0</x:v>
      </x:c>
      <x:c r="H732" s="10" t="n">
        <x:v>0</x:v>
      </x:c>
      <x:c r="I732" t="n">
        <x:v>0</x:v>
      </x:c>
      <x:c r="J732" s="6" t="n">
        <x:v>0</x:v>
      </x:c>
    </x:row>
    <x:row r="733">
      <x:c r="A733" t="str">
        <x:v>goodrich r16</x:v>
      </x:c>
      <x:c r="B733" t="str">
        <x:v>Otro</x:v>
      </x:c>
      <x:c r="C733" t="n">
        <x:v>1</x:v>
      </x:c>
      <x:c r="D733" t="n">
        <x:v>1</x:v>
      </x:c>
      <x:c r="E733" t="n">
        <x:v>0</x:v>
      </x:c>
      <x:c r="F733" t="n">
        <x:v>0</x:v>
      </x:c>
      <x:c r="G733" s="10" t="n">
        <x:v>0</x:v>
      </x:c>
      <x:c r="H733" s="10" t="n">
        <x:v>0</x:v>
      </x:c>
      <x:c r="I733" t="n">
        <x:v>0</x:v>
      </x:c>
      <x:c r="J733" s="6" t="n">
        <x:v>0</x:v>
      </x:c>
    </x:row>
    <x:row r="734">
      <x:c r="A734" t="str">
        <x:v>130-90-b-16-m-c-73h-reinf-michelin-commander-iii-cruiser-f-1</x:v>
      </x:c>
      <x:c r="B734" t="str">
        <x:v>Otro</x:v>
      </x:c>
      <x:c r="C734" t="n">
        <x:v>1</x:v>
      </x:c>
      <x:c r="D734" t="n">
        <x:v>1</x:v>
      </x:c>
      <x:c r="E734" t="n">
        <x:v>0</x:v>
      </x:c>
      <x:c r="F734" t="n">
        <x:v>0</x:v>
      </x:c>
      <x:c r="G734" s="10" t="n">
        <x:v>0</x:v>
      </x:c>
      <x:c r="H734" s="10" t="n">
        <x:v>0</x:v>
      </x:c>
      <x:c r="I734" t="n">
        <x:v>0</x:v>
      </x:c>
      <x:c r="J734" s="6" t="n">
        <x:v>0</x:v>
      </x:c>
    </x:row>
    <x:row r="735">
      <x:c r="A735" t="str">
        <x:v>225-45-r17-yokohama-bluearth-es32-94v</x:v>
      </x:c>
      <x:c r="B735" t="str">
        <x:v>Producto / URL</x:v>
      </x:c>
      <x:c r="C735" t="n">
        <x:v>1</x:v>
      </x:c>
      <x:c r="D735" t="n">
        <x:v>1</x:v>
      </x:c>
      <x:c r="E735" t="n">
        <x:v>0</x:v>
      </x:c>
      <x:c r="F735" t="n">
        <x:v>0</x:v>
      </x:c>
      <x:c r="G735" s="10" t="n">
        <x:v>0</x:v>
      </x:c>
      <x:c r="H735" s="10" t="n">
        <x:v>0</x:v>
      </x:c>
      <x:c r="I735" t="n">
        <x:v>0</x:v>
      </x:c>
      <x:c r="J735" s="6" t="n">
        <x:v>0</x:v>
      </x:c>
    </x:row>
    <x:row r="736">
      <x:c r="A736" t="str">
        <x:v>60 R15</x:v>
      </x:c>
      <x:c r="B736" t="str">
        <x:v>Otro</x:v>
      </x:c>
      <x:c r="C736" t="n">
        <x:v>1</x:v>
      </x:c>
      <x:c r="D736" t="n">
        <x:v>1</x:v>
      </x:c>
      <x:c r="E736" t="n">
        <x:v>0</x:v>
      </x:c>
      <x:c r="F736" t="n">
        <x:v>0</x:v>
      </x:c>
      <x:c r="G736" s="10" t="n">
        <x:v>0</x:v>
      </x:c>
      <x:c r="H736" s="10" t="n">
        <x:v>0</x:v>
      </x:c>
      <x:c r="I736" t="n">
        <x:v>0</x:v>
      </x:c>
      <x:c r="J736" s="6" t="n">
        <x:v>0</x:v>
      </x:c>
    </x:row>
    <x:row r="737">
      <x:c r="A737" t="str">
        <x:v>225 60 14</x:v>
      </x:c>
      <x:c r="B737" t="str">
        <x:v>Medida</x:v>
      </x:c>
      <x:c r="C737" t="n">
        <x:v>1</x:v>
      </x:c>
      <x:c r="D737" t="n">
        <x:v>1</x:v>
      </x:c>
      <x:c r="E737" t="n">
        <x:v>0</x:v>
      </x:c>
      <x:c r="F737" t="n">
        <x:v>0</x:v>
      </x:c>
      <x:c r="G737" s="10" t="n">
        <x:v>0</x:v>
      </x:c>
      <x:c r="H737" s="10" t="n">
        <x:v>0</x:v>
      </x:c>
      <x:c r="I737" t="n">
        <x:v>0</x:v>
      </x:c>
      <x:c r="J737" s="6" t="n">
        <x:v>0</x:v>
      </x:c>
    </x:row>
    <x:row r="738">
      <x:c r="A738" t="str">
        <x:v>diablo rosso 2</x:v>
      </x:c>
      <x:c r="B738" t="str">
        <x:v>Otro</x:v>
      </x:c>
      <x:c r="C738" t="n">
        <x:v>1</x:v>
      </x:c>
      <x:c r="D738" t="n">
        <x:v>1</x:v>
      </x:c>
      <x:c r="E738" t="n">
        <x:v>0</x:v>
      </x:c>
      <x:c r="F738" t="n">
        <x:v>0</x:v>
      </x:c>
      <x:c r="G738" s="10" t="n">
        <x:v>0</x:v>
      </x:c>
      <x:c r="H738" s="10" t="n">
        <x:v>0</x:v>
      </x:c>
      <x:c r="I738" t="n">
        <x:v>0</x:v>
      </x:c>
      <x:c r="J738" s="6" t="n">
        <x:v>0</x:v>
      </x:c>
    </x:row>
    <x:row r="739">
      <x:c r="A739" t="str">
        <x:v>205 55 16 91 v</x:v>
      </x:c>
      <x:c r="B739" t="str">
        <x:v>Medida</x:v>
      </x:c>
      <x:c r="C739" t="n">
        <x:v>1</x:v>
      </x:c>
      <x:c r="D739" t="n">
        <x:v>1</x:v>
      </x:c>
      <x:c r="E739" t="n">
        <x:v>0</x:v>
      </x:c>
      <x:c r="F739" t="n">
        <x:v>0</x:v>
      </x:c>
      <x:c r="G739" s="10" t="n">
        <x:v>0</x:v>
      </x:c>
      <x:c r="H739" s="10" t="n">
        <x:v>0</x:v>
      </x:c>
      <x:c r="I739" t="n">
        <x:v>0</x:v>
      </x:c>
      <x:c r="J739" s="6" t="n">
        <x:v>0</x:v>
      </x:c>
    </x:row>
    <x:row r="740">
      <x:c r="A740" t="str">
        <x:v>185-65-r14-pirelli-p400-evo-86-t</x:v>
      </x:c>
      <x:c r="B740" t="str">
        <x:v>Producto / URL</x:v>
      </x:c>
      <x:c r="C740" t="n">
        <x:v>1</x:v>
      </x:c>
      <x:c r="D740" t="n">
        <x:v>1</x:v>
      </x:c>
      <x:c r="E740" t="n">
        <x:v>0</x:v>
      </x:c>
      <x:c r="F740" t="n">
        <x:v>0</x:v>
      </x:c>
      <x:c r="G740" s="10" t="n">
        <x:v>0</x:v>
      </x:c>
      <x:c r="H740" s="10" t="n">
        <x:v>0</x:v>
      </x:c>
      <x:c r="I740" t="n">
        <x:v>0</x:v>
      </x:c>
      <x:c r="J740" s="6" t="n">
        <x:v>0</x:v>
      </x:c>
    </x:row>
    <x:row r="741">
      <x:c r="A741" t="str">
        <x:v>neumáticos 175</x:v>
      </x:c>
      <x:c r="B741" t="str">
        <x:v>Otro</x:v>
      </x:c>
      <x:c r="C741" t="n">
        <x:v>1</x:v>
      </x:c>
      <x:c r="D741" t="n">
        <x:v>1</x:v>
      </x:c>
      <x:c r="E741" t="n">
        <x:v>0</x:v>
      </x:c>
      <x:c r="F741" t="n">
        <x:v>0</x:v>
      </x:c>
      <x:c r="G741" s="10" t="n">
        <x:v>0</x:v>
      </x:c>
      <x:c r="H741" s="10" t="n">
        <x:v>0</x:v>
      </x:c>
      <x:c r="I741" t="n">
        <x:v>0</x:v>
      </x:c>
      <x:c r="J741" s="6" t="n">
        <x:v>0</x:v>
      </x:c>
    </x:row>
    <x:row r="742">
      <x:c r="A742" t="str">
        <x:v>285 45 20</x:v>
      </x:c>
      <x:c r="B742" t="str">
        <x:v>Medida</x:v>
      </x:c>
      <x:c r="C742" t="n">
        <x:v>1</x:v>
      </x:c>
      <x:c r="D742" t="n">
        <x:v>1</x:v>
      </x:c>
      <x:c r="E742" t="n">
        <x:v>3</x:v>
      </x:c>
      <x:c r="F742" t="n">
        <x:v>1</x:v>
      </x:c>
      <x:c r="G742" s="10" t="n">
        <x:v>3</x:v>
      </x:c>
      <x:c r="H742" s="10" t="n">
        <x:v>0</x:v>
      </x:c>
      <x:c r="I742" t="n">
        <x:v>0</x:v>
      </x:c>
      <x:c r="J742" s="6" t="n">
        <x:v>0</x:v>
      </x:c>
    </x:row>
    <x:row r="743">
      <x:c r="A743" t="str">
        <x:v>toyota 16</x:v>
      </x:c>
      <x:c r="B743" t="str">
        <x:v>Otro</x:v>
      </x:c>
      <x:c r="C743" t="n">
        <x:v>1</x:v>
      </x:c>
      <x:c r="D743" t="n">
        <x:v>1</x:v>
      </x:c>
      <x:c r="E743" t="n">
        <x:v>0</x:v>
      </x:c>
      <x:c r="F743" t="n">
        <x:v>0</x:v>
      </x:c>
      <x:c r="G743" s="10" t="n">
        <x:v>0</x:v>
      </x:c>
      <x:c r="H743" s="10" t="n">
        <x:v>0</x:v>
      </x:c>
      <x:c r="I743" t="n">
        <x:v>0</x:v>
      </x:c>
      <x:c r="J743" s="6" t="n">
        <x:v>0</x:v>
      </x:c>
    </x:row>
    <x:row r="744">
      <x:c r="A744" t="str">
        <x:v>kit-x2-175-65-r1-82h-mirage-mr-166</x:v>
      </x:c>
      <x:c r="B744" t="str">
        <x:v>Otro</x:v>
      </x:c>
      <x:c r="C744" t="n">
        <x:v>1</x:v>
      </x:c>
      <x:c r="D744" t="n">
        <x:v>1</x:v>
      </x:c>
      <x:c r="E744" t="n">
        <x:v>0</x:v>
      </x:c>
      <x:c r="F744" t="n">
        <x:v>0</x:v>
      </x:c>
      <x:c r="G744" s="10" t="n">
        <x:v>0</x:v>
      </x:c>
      <x:c r="H744" s="10" t="n">
        <x:v>0</x:v>
      </x:c>
      <x:c r="I744" t="n">
        <x:v>0</x:v>
      </x:c>
      <x:c r="J744" s="6" t="n">
        <x:v>0</x:v>
      </x:c>
    </x:row>
    <x:row r="745">
      <x:c r="A745" t="str">
        <x:v>125 r15</x:v>
      </x:c>
      <x:c r="B745" t="str">
        <x:v>Otro</x:v>
      </x:c>
      <x:c r="C745" t="n">
        <x:v>1</x:v>
      </x:c>
      <x:c r="D745" t="n">
        <x:v>1</x:v>
      </x:c>
      <x:c r="E745" t="n">
        <x:v>0</x:v>
      </x:c>
      <x:c r="F745" t="n">
        <x:v>0</x:v>
      </x:c>
      <x:c r="G745" s="10" t="n">
        <x:v>0</x:v>
      </x:c>
      <x:c r="H745" s="10" t="n">
        <x:v>0</x:v>
      </x:c>
      <x:c r="I745" t="n">
        <x:v>0</x:v>
      </x:c>
      <x:c r="J745" s="6" t="n">
        <x:v>0</x:v>
      </x:c>
    </x:row>
    <x:row r="746">
      <x:c r="A746" t="str">
        <x:v>315 70 17</x:v>
      </x:c>
      <x:c r="B746" t="str">
        <x:v>Medida</x:v>
      </x:c>
      <x:c r="C746" t="n">
        <x:v>1</x:v>
      </x:c>
      <x:c r="D746" t="n">
        <x:v>1</x:v>
      </x:c>
      <x:c r="E746" t="n">
        <x:v>0</x:v>
      </x:c>
      <x:c r="F746" t="n">
        <x:v>0</x:v>
      </x:c>
      <x:c r="G746" s="10" t="n">
        <x:v>0</x:v>
      </x:c>
      <x:c r="H746" s="10" t="n">
        <x:v>0</x:v>
      </x:c>
      <x:c r="I746" t="n">
        <x:v>0</x:v>
      </x:c>
      <x:c r="J746" s="6" t="n">
        <x:v>0</x:v>
      </x:c>
    </x:row>
    <x:row r="747">
      <x:c r="A747" t="str">
        <x:v>225 45 17 91v</x:v>
      </x:c>
      <x:c r="B747" t="str">
        <x:v>Medida</x:v>
      </x:c>
      <x:c r="C747" t="n">
        <x:v>1</x:v>
      </x:c>
      <x:c r="D747" t="n">
        <x:v>1</x:v>
      </x:c>
      <x:c r="E747" t="n">
        <x:v>0</x:v>
      </x:c>
      <x:c r="F747" t="n">
        <x:v>0</x:v>
      </x:c>
      <x:c r="G747" s="10" t="n">
        <x:v>0</x:v>
      </x:c>
      <x:c r="H747" s="10" t="n">
        <x:v>0</x:v>
      </x:c>
      <x:c r="I747" t="n">
        <x:v>0</x:v>
      </x:c>
      <x:c r="J747" s="6" t="n">
        <x:v>0</x:v>
      </x:c>
    </x:row>
    <x:row r="748">
      <x:c r="A748" t="str">
        <x:v>150-70-r-17-m-c-69v-michelin-anakee-adventure-r-1</x:v>
      </x:c>
      <x:c r="B748" t="str">
        <x:v>Otro</x:v>
      </x:c>
      <x:c r="C748" t="n">
        <x:v>1</x:v>
      </x:c>
      <x:c r="D748" t="n">
        <x:v>1</x:v>
      </x:c>
      <x:c r="E748" t="n">
        <x:v>0</x:v>
      </x:c>
      <x:c r="F748" t="n">
        <x:v>0</x:v>
      </x:c>
      <x:c r="G748" s="10" t="n">
        <x:v>0</x:v>
      </x:c>
      <x:c r="H748" s="10" t="n">
        <x:v>0</x:v>
      </x:c>
      <x:c r="I748" t="n">
        <x:v>0</x:v>
      </x:c>
      <x:c r="J748" s="6" t="n">
        <x:v>0</x:v>
      </x:c>
    </x:row>
    <x:row r="749">
      <x:c r="A749" t="str">
        <x:v>neumático 165</x:v>
      </x:c>
      <x:c r="B749" t="str">
        <x:v>Otro</x:v>
      </x:c>
      <x:c r="C749" t="n">
        <x:v>1</x:v>
      </x:c>
      <x:c r="D749" t="n">
        <x:v>1</x:v>
      </x:c>
      <x:c r="E749" t="n">
        <x:v>0</x:v>
      </x:c>
      <x:c r="F749" t="n">
        <x:v>0</x:v>
      </x:c>
      <x:c r="G749" s="10" t="n">
        <x:v>0</x:v>
      </x:c>
      <x:c r="H749" s="10" t="n">
        <x:v>0</x:v>
      </x:c>
      <x:c r="I749" t="n">
        <x:v>0</x:v>
      </x:c>
      <x:c r="J749" s="6" t="n">
        <x:v>0</x:v>
      </x:c>
    </x:row>
    <x:row r="750">
      <x:c r="A750" t="str">
        <x:v>polo vw. rodado 15</x:v>
      </x:c>
      <x:c r="B750" t="str">
        <x:v>Otro</x:v>
      </x:c>
      <x:c r="C750" t="n">
        <x:v>1</x:v>
      </x:c>
      <x:c r="D750" t="n">
        <x:v>1</x:v>
      </x:c>
      <x:c r="E750" t="n">
        <x:v>1</x:v>
      </x:c>
      <x:c r="F750" t="n">
        <x:v>1</x:v>
      </x:c>
      <x:c r="G750" s="10" t="n">
        <x:v>1</x:v>
      </x:c>
      <x:c r="H750" s="10" t="n">
        <x:v>0</x:v>
      </x:c>
      <x:c r="I750" t="n">
        <x:v>0</x:v>
      </x:c>
      <x:c r="J750" s="6" t="n">
        <x:v>0</x:v>
      </x:c>
    </x:row>
    <x:row r="751">
      <x:c r="A751" t="str">
        <x:v>275-35-zr19-michelin-pilot-sport-cup-2-mo-100-y-</x:v>
      </x:c>
      <x:c r="B751" t="str">
        <x:v>Otro</x:v>
      </x:c>
      <x:c r="C751" t="n">
        <x:v>1</x:v>
      </x:c>
      <x:c r="D751" t="n">
        <x:v>1</x:v>
      </x:c>
      <x:c r="E751" t="n">
        <x:v>0</x:v>
      </x:c>
      <x:c r="F751" t="n">
        <x:v>0</x:v>
      </x:c>
      <x:c r="G751" s="10" t="n">
        <x:v>0</x:v>
      </x:c>
      <x:c r="H751" s="10" t="n">
        <x:v>0</x:v>
      </x:c>
      <x:c r="I751" t="n">
        <x:v>0</x:v>
      </x:c>
      <x:c r="J751" s="6" t="n">
        <x:v>0</x:v>
      </x:c>
    </x:row>
    <x:row r="752">
      <x:c r="A752" t="str">
        <x:v>245-45-r19-michelin-primacy-3-run-flat-bmw-98y</x:v>
      </x:c>
      <x:c r="B752" t="str">
        <x:v>Producto / URL</x:v>
      </x:c>
      <x:c r="C752" t="n">
        <x:v>1</x:v>
      </x:c>
      <x:c r="D752" t="n">
        <x:v>1</x:v>
      </x:c>
      <x:c r="E752" t="n">
        <x:v>0</x:v>
      </x:c>
      <x:c r="F752" t="n">
        <x:v>0</x:v>
      </x:c>
      <x:c r="G752" s="10" t="n">
        <x:v>0</x:v>
      </x:c>
      <x:c r="H752" s="10" t="n">
        <x:v>0</x:v>
      </x:c>
      <x:c r="I752" t="n">
        <x:v>0</x:v>
      </x:c>
      <x:c r="J752" s="6" t="n">
        <x:v>0</x:v>
      </x:c>
    </x:row>
    <x:row r="753">
      <x:c r="A753" t="str">
        <x:v>225 75 17</x:v>
      </x:c>
      <x:c r="B753" t="str">
        <x:v>Medida</x:v>
      </x:c>
      <x:c r="C753" t="n">
        <x:v>1</x:v>
      </x:c>
      <x:c r="D753" t="n">
        <x:v>1</x:v>
      </x:c>
      <x:c r="E753" t="n">
        <x:v>0</x:v>
      </x:c>
      <x:c r="F753" t="n">
        <x:v>0</x:v>
      </x:c>
      <x:c r="G753" s="10" t="n">
        <x:v>0</x:v>
      </x:c>
      <x:c r="H753" s="10" t="n">
        <x:v>0</x:v>
      </x:c>
      <x:c r="I753" t="n">
        <x:v>0</x:v>
      </x:c>
      <x:c r="J753" s="6" t="n">
        <x:v>0</x:v>
      </x:c>
    </x:row>
    <x:row r="754">
      <x:c r="A754" t="str">
        <x:v>210</x:v>
      </x:c>
      <x:c r="B754" t="str">
        <x:v>Otro</x:v>
      </x:c>
      <x:c r="C754" t="n">
        <x:v>1</x:v>
      </x:c>
      <x:c r="D754" t="n">
        <x:v>1</x:v>
      </x:c>
      <x:c r="E754" t="n">
        <x:v>0</x:v>
      </x:c>
      <x:c r="F754" t="n">
        <x:v>0</x:v>
      </x:c>
      <x:c r="G754" s="10" t="n">
        <x:v>0</x:v>
      </x:c>
      <x:c r="H754" s="10" t="n">
        <x:v>0</x:v>
      </x:c>
      <x:c r="I754" t="n">
        <x:v>0</x:v>
      </x:c>
      <x:c r="J754" s="6" t="n">
        <x:v>0</x:v>
      </x:c>
    </x:row>
    <x:row r="755">
      <x:c r="A755" t="str">
        <x:v>anakee wild</x:v>
      </x:c>
      <x:c r="B755" t="str">
        <x:v>Otro</x:v>
      </x:c>
      <x:c r="C755" t="n">
        <x:v>1</x:v>
      </x:c>
      <x:c r="D755" t="n">
        <x:v>1</x:v>
      </x:c>
      <x:c r="E755" t="n">
        <x:v>1</x:v>
      </x:c>
      <x:c r="F755" t="n">
        <x:v>1</x:v>
      </x:c>
      <x:c r="G755" s="10" t="n">
        <x:v>1</x:v>
      </x:c>
      <x:c r="H755" s="10" t="n">
        <x:v>0</x:v>
      </x:c>
      <x:c r="I755" t="n">
        <x:v>0</x:v>
      </x:c>
      <x:c r="J755" s="6" t="n">
        <x:v>0</x:v>
      </x:c>
    </x:row>
    <x:row r="756">
      <x:c r="A756" t="str">
        <x:v>60414</x:v>
      </x:c>
      <x:c r="B756" t="str">
        <x:v>Otro</x:v>
      </x:c>
      <x:c r="C756" t="n">
        <x:v>1</x:v>
      </x:c>
      <x:c r="D756" t="n">
        <x:v>1</x:v>
      </x:c>
      <x:c r="E756" t="n">
        <x:v>0</x:v>
      </x:c>
      <x:c r="F756" t="n">
        <x:v>0</x:v>
      </x:c>
      <x:c r="G756" s="10" t="n">
        <x:v>0</x:v>
      </x:c>
      <x:c r="H756" s="10" t="n">
        <x:v>0</x:v>
      </x:c>
      <x:c r="I756" t="n">
        <x:v>0</x:v>
      </x:c>
      <x:c r="J756" s="6" t="n">
        <x:v>0</x:v>
      </x:c>
    </x:row>
    <x:row r="757">
      <x:c r="A757" t="str">
        <x:v>pilot street</x:v>
      </x:c>
      <x:c r="B757" t="str">
        <x:v>Otro</x:v>
      </x:c>
      <x:c r="C757" t="n">
        <x:v>1</x:v>
      </x:c>
      <x:c r="D757" t="n">
        <x:v>1</x:v>
      </x:c>
      <x:c r="E757" t="n">
        <x:v>0</x:v>
      </x:c>
      <x:c r="F757" t="n">
        <x:v>0</x:v>
      </x:c>
      <x:c r="G757" s="10" t="n">
        <x:v>0</x:v>
      </x:c>
      <x:c r="H757" s="10" t="n">
        <x:v>0</x:v>
      </x:c>
      <x:c r="I757" t="n">
        <x:v>0</x:v>
      </x:c>
      <x:c r="J757" s="6" t="n">
        <x:v>0</x:v>
      </x:c>
    </x:row>
    <x:row r="758">
      <x:c r="A758" t="str">
        <x:v>235 70 r7</x:v>
      </x:c>
      <x:c r="B758" t="str">
        <x:v>Otro</x:v>
      </x:c>
      <x:c r="C758" t="n">
        <x:v>1</x:v>
      </x:c>
      <x:c r="D758" t="n">
        <x:v>1</x:v>
      </x:c>
      <x:c r="E758" t="n">
        <x:v>0</x:v>
      </x:c>
      <x:c r="F758" t="n">
        <x:v>0</x:v>
      </x:c>
      <x:c r="G758" s="10" t="n">
        <x:v>0</x:v>
      </x:c>
      <x:c r="H758" s="10" t="n">
        <x:v>0</x:v>
      </x:c>
      <x:c r="I758" t="n">
        <x:v>0</x:v>
      </x:c>
      <x:c r="J758" s="6" t="n">
        <x:v>0</x:v>
      </x:c>
    </x:row>
    <x:row r="759">
      <x:c r="A759" t="str">
        <x:v>summax max ranger 265 65 17</x:v>
      </x:c>
      <x:c r="B759" t="str">
        <x:v>Medida</x:v>
      </x:c>
      <x:c r="C759" t="n">
        <x:v>1</x:v>
      </x:c>
      <x:c r="D759" t="n">
        <x:v>1</x:v>
      </x:c>
      <x:c r="E759" t="n">
        <x:v>0</x:v>
      </x:c>
      <x:c r="F759" t="n">
        <x:v>0</x:v>
      </x:c>
      <x:c r="G759" s="10" t="n">
        <x:v>0</x:v>
      </x:c>
      <x:c r="H759" s="10" t="n">
        <x:v>0</x:v>
      </x:c>
      <x:c r="I759" t="n">
        <x:v>0</x:v>
      </x:c>
      <x:c r="J759" s="6" t="n">
        <x:v>0</x:v>
      </x:c>
    </x:row>
    <x:row r="760">
      <x:c r="A760" t="str">
        <x:v>aceite</x:v>
      </x:c>
      <x:c r="B760" t="str">
        <x:v>Otro</x:v>
      </x:c>
      <x:c r="C760" t="n">
        <x:v>1</x:v>
      </x:c>
      <x:c r="D760" t="n">
        <x:v>1</x:v>
      </x:c>
      <x:c r="E760" t="n">
        <x:v>0</x:v>
      </x:c>
      <x:c r="F760" t="n">
        <x:v>0</x:v>
      </x:c>
      <x:c r="G760" s="10" t="n">
        <x:v>0</x:v>
      </x:c>
      <x:c r="H760" s="10" t="n">
        <x:v>0</x:v>
      </x:c>
      <x:c r="I760" t="n">
        <x:v>0</x:v>
      </x:c>
      <x:c r="J760" s="6" t="n">
        <x:v>0</x:v>
      </x:c>
    </x:row>
    <x:row r="761">
      <x:c r="A761" t="str">
        <x:v>175-65-14</x:v>
      </x:c>
      <x:c r="B761" t="str">
        <x:v>Medida</x:v>
      </x:c>
      <x:c r="C761" t="n">
        <x:v>1</x:v>
      </x:c>
      <x:c r="D761" t="n">
        <x:v>1</x:v>
      </x:c>
      <x:c r="E761" t="n">
        <x:v>0</x:v>
      </x:c>
      <x:c r="F761" t="n">
        <x:v>0</x:v>
      </x:c>
      <x:c r="G761" s="10" t="n">
        <x:v>0</x:v>
      </x:c>
      <x:c r="H761" s="10" t="n">
        <x:v>0</x:v>
      </x:c>
      <x:c r="I761" t="n">
        <x:v>0</x:v>
      </x:c>
      <x:c r="J761" s="6" t="n">
        <x:v>0</x:v>
      </x:c>
    </x:row>
    <x:row r="762">
      <x:c r="A762" t="str">
        <x:v>ko3 265</x:v>
      </x:c>
      <x:c r="B762" t="str">
        <x:v>Otro</x:v>
      </x:c>
      <x:c r="C762" t="n">
        <x:v>1</x:v>
      </x:c>
      <x:c r="D762" t="n">
        <x:v>1</x:v>
      </x:c>
      <x:c r="E762" t="n">
        <x:v>0</x:v>
      </x:c>
      <x:c r="F762" t="n">
        <x:v>0</x:v>
      </x:c>
      <x:c r="G762" s="10" t="n">
        <x:v>0</x:v>
      </x:c>
      <x:c r="H762" s="10" t="n">
        <x:v>0</x:v>
      </x:c>
      <x:c r="I762" t="n">
        <x:v>0</x:v>
      </x:c>
      <x:c r="J762" s="6" t="n">
        <x:v>0</x:v>
      </x:c>
    </x:row>
    <x:row r="763">
      <x:c r="A763" t="str">
        <x:v>rodado 14 175</x:v>
      </x:c>
      <x:c r="B763" t="str">
        <x:v>Otro</x:v>
      </x:c>
      <x:c r="C763" t="n">
        <x:v>1</x:v>
      </x:c>
      <x:c r="D763" t="n">
        <x:v>1</x:v>
      </x:c>
      <x:c r="E763" t="n">
        <x:v>0</x:v>
      </x:c>
      <x:c r="F763" t="n">
        <x:v>0</x:v>
      </x:c>
      <x:c r="G763" s="10" t="n">
        <x:v>0</x:v>
      </x:c>
      <x:c r="H763" s="10" t="n">
        <x:v>0</x:v>
      </x:c>
      <x:c r="I763" t="n">
        <x:v>0</x:v>
      </x:c>
      <x:c r="J763" s="6" t="n">
        <x:v>0</x:v>
      </x:c>
    </x:row>
    <x:row r="764">
      <x:c r="A764" t="str">
        <x:v>Compresores</x:v>
      </x:c>
      <x:c r="B764" t="str">
        <x:v>Otro</x:v>
      </x:c>
      <x:c r="C764" t="n">
        <x:v>1</x:v>
      </x:c>
      <x:c r="D764" t="n">
        <x:v>1</x:v>
      </x:c>
      <x:c r="E764" t="n">
        <x:v>0</x:v>
      </x:c>
      <x:c r="F764" t="n">
        <x:v>0</x:v>
      </x:c>
      <x:c r="G764" s="10" t="n">
        <x:v>0</x:v>
      </x:c>
      <x:c r="H764" s="10" t="n">
        <x:v>0</x:v>
      </x:c>
      <x:c r="I764" t="n">
        <x:v>0</x:v>
      </x:c>
      <x:c r="J764" s="6" t="n">
        <x:v>0</x:v>
      </x:c>
    </x:row>
    <x:row r="765">
      <x:c r="A765" t="str">
        <x:v>205 55 16 run flat</x:v>
      </x:c>
      <x:c r="B765" t="str">
        <x:v>Medida</x:v>
      </x:c>
      <x:c r="C765" t="n">
        <x:v>1</x:v>
      </x:c>
      <x:c r="D765" t="n">
        <x:v>1</x:v>
      </x:c>
      <x:c r="E765" t="n">
        <x:v>0</x:v>
      </x:c>
      <x:c r="F765" t="n">
        <x:v>0</x:v>
      </x:c>
      <x:c r="G765" s="10" t="n">
        <x:v>0</x:v>
      </x:c>
      <x:c r="H765" s="10" t="n">
        <x:v>0</x:v>
      </x:c>
      <x:c r="I765" t="n">
        <x:v>0</x:v>
      </x:c>
      <x:c r="J765" s="6" t="n">
        <x:v>0</x:v>
      </x:c>
    </x:row>
    <x:row r="766">
      <x:c r="A766" t="str">
        <x:v>285 45 r19</x:v>
      </x:c>
      <x:c r="B766" t="str">
        <x:v>Medida</x:v>
      </x:c>
      <x:c r="C766" t="n">
        <x:v>1</x:v>
      </x:c>
      <x:c r="D766" t="n">
        <x:v>1</x:v>
      </x:c>
      <x:c r="E766" t="n">
        <x:v>0</x:v>
      </x:c>
      <x:c r="F766" t="n">
        <x:v>0</x:v>
      </x:c>
      <x:c r="G766" s="10" t="n">
        <x:v>0</x:v>
      </x:c>
      <x:c r="H766" s="10" t="n">
        <x:v>0</x:v>
      </x:c>
      <x:c r="I766" t="n">
        <x:v>0</x:v>
      </x:c>
      <x:c r="J766" s="6" t="n">
        <x:v>0</x:v>
      </x:c>
    </x:row>
    <x:row r="767">
      <x:c r="A767" t="str">
        <x:v>michelin trx 390</x:v>
      </x:c>
      <x:c r="B767" t="str">
        <x:v>Otro</x:v>
      </x:c>
      <x:c r="C767" t="n">
        <x:v>1</x:v>
      </x:c>
      <x:c r="D767" t="n">
        <x:v>1</x:v>
      </x:c>
      <x:c r="E767" t="n">
        <x:v>0</x:v>
      </x:c>
      <x:c r="F767" t="n">
        <x:v>0</x:v>
      </x:c>
      <x:c r="G767" s="10" t="n">
        <x:v>0</x:v>
      </x:c>
      <x:c r="H767" s="10" t="n">
        <x:v>0</x:v>
      </x:c>
      <x:c r="I767" t="n">
        <x:v>0</x:v>
      </x:c>
      <x:c r="J767" s="6" t="n">
        <x:v>0</x:v>
      </x:c>
    </x:row>
    <x:row r="768">
      <x:c r="A768" t="str">
        <x:v>31x10.5</x:v>
      </x:c>
      <x:c r="B768" t="str">
        <x:v>Otro</x:v>
      </x:c>
      <x:c r="C768" t="n">
        <x:v>1</x:v>
      </x:c>
      <x:c r="D768" t="n">
        <x:v>1</x:v>
      </x:c>
      <x:c r="E768" t="n">
        <x:v>1</x:v>
      </x:c>
      <x:c r="F768" t="n">
        <x:v>1</x:v>
      </x:c>
      <x:c r="G768" s="10" t="n">
        <x:v>1</x:v>
      </x:c>
      <x:c r="H768" s="10" t="n">
        <x:v>0</x:v>
      </x:c>
      <x:c r="I768" t="n">
        <x:v>0</x:v>
      </x:c>
      <x:c r="J768" s="6" t="n">
        <x:v>0</x:v>
      </x:c>
    </x:row>
    <x:row r="769">
      <x:c r="A769" t="str">
        <x:v>185 55 16</x:v>
      </x:c>
      <x:c r="B769" t="str">
        <x:v>Medida</x:v>
      </x:c>
      <x:c r="C769" t="n">
        <x:v>1</x:v>
      </x:c>
      <x:c r="D769" t="n">
        <x:v>1</x:v>
      </x:c>
      <x:c r="E769" t="n">
        <x:v>2</x:v>
      </x:c>
      <x:c r="F769" t="n">
        <x:v>1</x:v>
      </x:c>
      <x:c r="G769" s="10" t="n">
        <x:v>2</x:v>
      </x:c>
      <x:c r="H769" s="10" t="n">
        <x:v>0</x:v>
      </x:c>
      <x:c r="I769" t="n">
        <x:v>0</x:v>
      </x:c>
      <x:c r="J769" s="6" t="n">
        <x:v>0</x:v>
      </x:c>
    </x:row>
    <x:row r="770">
      <x:c r="A770" t="str">
        <x:v>265 64 17</x:v>
      </x:c>
      <x:c r="B770" t="str">
        <x:v>Medida</x:v>
      </x:c>
      <x:c r="C770" t="n">
        <x:v>1</x:v>
      </x:c>
      <x:c r="D770" t="n">
        <x:v>1</x:v>
      </x:c>
      <x:c r="E770" t="n">
        <x:v>0</x:v>
      </x:c>
      <x:c r="F770" t="n">
        <x:v>0</x:v>
      </x:c>
      <x:c r="G770" s="10" t="n">
        <x:v>0</x:v>
      </x:c>
      <x:c r="H770" s="10" t="n">
        <x:v>0</x:v>
      </x:c>
      <x:c r="I770" t="n">
        <x:v>0</x:v>
      </x:c>
      <x:c r="J770" s="6" t="n">
        <x:v>0</x:v>
      </x:c>
    </x:row>
    <x:row r="771">
      <x:c r="A771" t="str">
        <x:v>195-50-r16-champiro-fe1-88-v</x:v>
      </x:c>
      <x:c r="B771" t="str">
        <x:v>Producto / URL</x:v>
      </x:c>
      <x:c r="C771" t="n">
        <x:v>1</x:v>
      </x:c>
      <x:c r="D771" t="n">
        <x:v>1</x:v>
      </x:c>
      <x:c r="E771" t="n">
        <x:v>0</x:v>
      </x:c>
      <x:c r="F771" t="n">
        <x:v>0</x:v>
      </x:c>
      <x:c r="G771" s="10" t="n">
        <x:v>0</x:v>
      </x:c>
      <x:c r="H771" s="10" t="n">
        <x:v>0</x:v>
      </x:c>
      <x:c r="I771" t="n">
        <x:v>0</x:v>
      </x:c>
      <x:c r="J771" s="6" t="n">
        <x:v>0</x:v>
      </x:c>
    </x:row>
    <x:row r="772">
      <x:c r="A772" t="str">
        <x:v>michelin commander</x:v>
      </x:c>
      <x:c r="B772" t="str">
        <x:v>Otro</x:v>
      </x:c>
      <x:c r="C772" t="n">
        <x:v>1</x:v>
      </x:c>
      <x:c r="D772" t="n">
        <x:v>1</x:v>
      </x:c>
      <x:c r="E772" t="n">
        <x:v>0</x:v>
      </x:c>
      <x:c r="F772" t="n">
        <x:v>0</x:v>
      </x:c>
      <x:c r="G772" s="10" t="n">
        <x:v>0</x:v>
      </x:c>
      <x:c r="H772" s="10" t="n">
        <x:v>0</x:v>
      </x:c>
      <x:c r="I772" t="n">
        <x:v>0</x:v>
      </x:c>
      <x:c r="J772" s="6" t="n">
        <x:v>0</x:v>
      </x:c>
    </x:row>
    <x:row r="773">
      <x:c r="A773" t="str">
        <x:v>105 45 r17</x:v>
      </x:c>
      <x:c r="B773" t="str">
        <x:v>Medida</x:v>
      </x:c>
      <x:c r="C773" t="n">
        <x:v>1</x:v>
      </x:c>
      <x:c r="D773" t="n">
        <x:v>1</x:v>
      </x:c>
      <x:c r="E773" t="n">
        <x:v>0</x:v>
      </x:c>
      <x:c r="F773" t="n">
        <x:v>0</x:v>
      </x:c>
      <x:c r="G773" s="10" t="n">
        <x:v>0</x:v>
      </x:c>
      <x:c r="H773" s="10" t="n">
        <x:v>0</x:v>
      </x:c>
      <x:c r="I773" t="n">
        <x:v>0</x:v>
      </x:c>
      <x:c r="J773" s="6" t="n">
        <x:v>0</x:v>
      </x:c>
    </x:row>
    <x:row r="774">
      <x:c r="A774" t="str">
        <x:v>245 50 r18</x:v>
      </x:c>
      <x:c r="B774" t="str">
        <x:v>Medida</x:v>
      </x:c>
      <x:c r="C774" t="n">
        <x:v>1</x:v>
      </x:c>
      <x:c r="D774" t="n">
        <x:v>1</x:v>
      </x:c>
      <x:c r="E774" t="n">
        <x:v>0</x:v>
      </x:c>
      <x:c r="F774" t="n">
        <x:v>0</x:v>
      </x:c>
      <x:c r="G774" s="10" t="n">
        <x:v>0</x:v>
      </x:c>
      <x:c r="H774" s="10" t="n">
        <x:v>0</x:v>
      </x:c>
      <x:c r="I774" t="n">
        <x:v>0</x:v>
      </x:c>
      <x:c r="J774" s="6" t="n">
        <x:v>0</x:v>
      </x:c>
    </x:row>
    <x:row r="775">
      <x:c r="A775" t="str">
        <x:v>835308</x:v>
      </x:c>
      <x:c r="B775" t="str">
        <x:v>Otro</x:v>
      </x:c>
      <x:c r="C775" t="n">
        <x:v>1</x:v>
      </x:c>
      <x:c r="D775" t="n">
        <x:v>1</x:v>
      </x:c>
      <x:c r="E775" t="n">
        <x:v>0</x:v>
      </x:c>
      <x:c r="F775" t="n">
        <x:v>0</x:v>
      </x:c>
      <x:c r="G775" s="10" t="n">
        <x:v>0</x:v>
      </x:c>
      <x:c r="H775" s="10" t="n">
        <x:v>0</x:v>
      </x:c>
      <x:c r="I775" t="n">
        <x:v>0</x:v>
      </x:c>
      <x:c r="J775" s="6" t="n">
        <x:v>0</x:v>
      </x:c>
    </x:row>
    <x:row r="776">
      <x:c r="A776" t="str">
        <x:v>kit x2 mirage</x:v>
      </x:c>
      <x:c r="B776" t="str">
        <x:v>Otro</x:v>
      </x:c>
      <x:c r="C776" t="n">
        <x:v>1</x:v>
      </x:c>
      <x:c r="D776" t="n">
        <x:v>1</x:v>
      </x:c>
      <x:c r="E776" t="n">
        <x:v>0</x:v>
      </x:c>
      <x:c r="F776" t="n">
        <x:v>0</x:v>
      </x:c>
      <x:c r="G776" s="10" t="n">
        <x:v>0</x:v>
      </x:c>
      <x:c r="H776" s="10" t="n">
        <x:v>0</x:v>
      </x:c>
      <x:c r="I776" t="n">
        <x:v>0</x:v>
      </x:c>
      <x:c r="J776" s="6" t="n">
        <x:v>0</x:v>
      </x:c>
    </x:row>
    <x:row r="777">
      <x:c r="A777" t="str">
        <x:v>265 65r 17</x:v>
      </x:c>
      <x:c r="B777" t="str">
        <x:v>Otro</x:v>
      </x:c>
      <x:c r="C777" t="n">
        <x:v>1</x:v>
      </x:c>
      <x:c r="D777" t="n">
        <x:v>1</x:v>
      </x:c>
      <x:c r="E777" t="n">
        <x:v>8</x:v>
      </x:c>
      <x:c r="F777" t="n">
        <x:v>1</x:v>
      </x:c>
      <x:c r="G777" s="10" t="n">
        <x:v>8</x:v>
      </x:c>
      <x:c r="H777" s="10" t="n">
        <x:v>0</x:v>
      </x:c>
      <x:c r="I777" t="n">
        <x:v>0</x:v>
      </x:c>
      <x:c r="J777" s="6" t="n">
        <x:v>0</x:v>
      </x:c>
    </x:row>
    <x:row r="778">
      <x:c r="A778" t="str">
        <x:v>michelin xas vr 89h 185 16</x:v>
      </x:c>
      <x:c r="B778" t="str">
        <x:v>Otro</x:v>
      </x:c>
      <x:c r="C778" t="n">
        <x:v>1</x:v>
      </x:c>
      <x:c r="D778" t="n">
        <x:v>1</x:v>
      </x:c>
      <x:c r="E778" t="n">
        <x:v>0</x:v>
      </x:c>
      <x:c r="F778" t="n">
        <x:v>0</x:v>
      </x:c>
      <x:c r="G778" s="10" t="n">
        <x:v>0</x:v>
      </x:c>
      <x:c r="H778" s="10" t="n">
        <x:v>0</x:v>
      </x:c>
      <x:c r="I778" t="n">
        <x:v>0</x:v>
      </x:c>
      <x:c r="J778" s="6" t="n">
        <x:v>0</x:v>
      </x:c>
    </x:row>
    <x:row r="779">
      <x:c r="A779" t="str">
        <x:v>235 45 r18</x:v>
      </x:c>
      <x:c r="B779" t="str">
        <x:v>Medida</x:v>
      </x:c>
      <x:c r="C779" t="n">
        <x:v>1</x:v>
      </x:c>
      <x:c r="D779" t="n">
        <x:v>1</x:v>
      </x:c>
      <x:c r="E779" t="n">
        <x:v>0</x:v>
      </x:c>
      <x:c r="F779" t="n">
        <x:v>0</x:v>
      </x:c>
      <x:c r="G779" s="10" t="n">
        <x:v>0</x:v>
      </x:c>
      <x:c r="H779" s="10" t="n">
        <x:v>0</x:v>
      </x:c>
      <x:c r="I779" t="n">
        <x:v>0</x:v>
      </x:c>
      <x:c r="J779" s="6" t="n">
        <x:v>0</x:v>
      </x:c>
    </x:row>
    <x:row r="780">
      <x:c r="A780" t="str">
        <x:v>muñeco</x:v>
      </x:c>
      <x:c r="B780" t="str">
        <x:v>Otro</x:v>
      </x:c>
      <x:c r="C780" t="n">
        <x:v>1</x:v>
      </x:c>
      <x:c r="D780" t="n">
        <x:v>1</x:v>
      </x:c>
      <x:c r="E780" t="n">
        <x:v>0</x:v>
      </x:c>
      <x:c r="F780" t="n">
        <x:v>0</x:v>
      </x:c>
      <x:c r="G780" s="10" t="n">
        <x:v>0</x:v>
      </x:c>
      <x:c r="H780" s="10" t="n">
        <x:v>0</x:v>
      </x:c>
      <x:c r="I780" t="n">
        <x:v>0</x:v>
      </x:c>
      <x:c r="J780" s="6" t="n">
        <x:v>0</x:v>
      </x:c>
    </x:row>
    <x:row r="781">
      <x:c r="A781" t="str">
        <x:v>brigestone</x:v>
      </x:c>
      <x:c r="B781" t="str">
        <x:v>Otro</x:v>
      </x:c>
      <x:c r="C781" t="n">
        <x:v>1</x:v>
      </x:c>
      <x:c r="D781" t="n">
        <x:v>1</x:v>
      </x:c>
      <x:c r="E781" t="n">
        <x:v>0</x:v>
      </x:c>
      <x:c r="F781" t="n">
        <x:v>0</x:v>
      </x:c>
      <x:c r="G781" s="10" t="n">
        <x:v>0</x:v>
      </x:c>
      <x:c r="H781" s="10" t="n">
        <x:v>0</x:v>
      </x:c>
      <x:c r="I781" t="n">
        <x:v>0</x:v>
      </x:c>
      <x:c r="J781" s="6" t="n">
        <x:v>0</x:v>
      </x:c>
    </x:row>
    <x:row r="782">
      <x:c r="A782" t="str">
        <x:v>105</x:v>
      </x:c>
      <x:c r="B782" t="str">
        <x:v>Otro</x:v>
      </x:c>
      <x:c r="C782" t="n">
        <x:v>1</x:v>
      </x:c>
      <x:c r="D782" t="n">
        <x:v>1</x:v>
      </x:c>
      <x:c r="E782" t="n">
        <x:v>0</x:v>
      </x:c>
      <x:c r="F782" t="n">
        <x:v>0</x:v>
      </x:c>
      <x:c r="G782" s="10" t="n">
        <x:v>0</x:v>
      </x:c>
      <x:c r="H782" s="10" t="n">
        <x:v>0</x:v>
      </x:c>
      <x:c r="I782" t="n">
        <x:v>0</x:v>
      </x:c>
      <x:c r="J782" s="6" t="n">
        <x:v>0</x:v>
      </x:c>
    </x:row>
    <x:row r="783">
      <x:c r="A783" t="str">
        <x:v>yoko</x:v>
      </x:c>
      <x:c r="B783" t="str">
        <x:v>Otro</x:v>
      </x:c>
      <x:c r="C783" t="n">
        <x:v>1</x:v>
      </x:c>
      <x:c r="D783" t="n">
        <x:v>1</x:v>
      </x:c>
      <x:c r="E783" t="n">
        <x:v>0</x:v>
      </x:c>
      <x:c r="F783" t="n">
        <x:v>0</x:v>
      </x:c>
      <x:c r="G783" s="10" t="n">
        <x:v>0</x:v>
      </x:c>
      <x:c r="H783" s="10" t="n">
        <x:v>0</x:v>
      </x:c>
      <x:c r="I783" t="n">
        <x:v>0</x:v>
      </x:c>
      <x:c r="J783" s="6" t="n">
        <x:v>0</x:v>
      </x:c>
    </x:row>
    <x:row r="784">
      <x:c r="A784" t="str">
        <x:v>255-45-r20-michelin-latitude-sport-3-acoustic-vol-105v</x:v>
      </x:c>
      <x:c r="B784" t="str">
        <x:v>Producto / URL</x:v>
      </x:c>
      <x:c r="C784" t="n">
        <x:v>1</x:v>
      </x:c>
      <x:c r="D784" t="n">
        <x:v>1</x:v>
      </x:c>
      <x:c r="E784" t="n">
        <x:v>0</x:v>
      </x:c>
      <x:c r="F784" t="n">
        <x:v>0</x:v>
      </x:c>
      <x:c r="G784" s="10" t="n">
        <x:v>0</x:v>
      </x:c>
      <x:c r="H784" s="10" t="n">
        <x:v>0</x:v>
      </x:c>
      <x:c r="I784" t="n">
        <x:v>0</x:v>
      </x:c>
      <x:c r="J784" s="6" t="n">
        <x:v>0</x:v>
      </x:c>
    </x:row>
    <x:row r="785">
      <x:c r="A785" t="str">
        <x:v>265 60</x:v>
      </x:c>
      <x:c r="B785" t="str">
        <x:v>Otro</x:v>
      </x:c>
      <x:c r="C785" t="n">
        <x:v>1</x:v>
      </x:c>
      <x:c r="D785" t="n">
        <x:v>1</x:v>
      </x:c>
      <x:c r="E785" t="n">
        <x:v>0</x:v>
      </x:c>
      <x:c r="F785" t="n">
        <x:v>0</x:v>
      </x:c>
      <x:c r="G785" s="10" t="n">
        <x:v>0</x:v>
      </x:c>
      <x:c r="H785" s="10" t="n">
        <x:v>0</x:v>
      </x:c>
      <x:c r="I785" t="n">
        <x:v>0</x:v>
      </x:c>
      <x:c r="J785" s="6" t="n">
        <x:v>0</x:v>
      </x:c>
    </x:row>
    <x:row r="786">
      <x:c r="A786" t="str">
        <x:v>255 65 18 goodrich</x:v>
      </x:c>
      <x:c r="B786" t="str">
        <x:v>Medida</x:v>
      </x:c>
      <x:c r="C786" t="n">
        <x:v>1</x:v>
      </x:c>
      <x:c r="D786" t="n">
        <x:v>1</x:v>
      </x:c>
      <x:c r="E786" t="n">
        <x:v>0</x:v>
      </x:c>
      <x:c r="F786" t="n">
        <x:v>0</x:v>
      </x:c>
      <x:c r="G786" s="10" t="n">
        <x:v>0</x:v>
      </x:c>
      <x:c r="H786" s="10" t="n">
        <x:v>0</x:v>
      </x:c>
      <x:c r="I786" t="n">
        <x:v>0</x:v>
      </x:c>
      <x:c r="J786" s="6" t="n">
        <x:v>0</x:v>
      </x:c>
    </x:row>
    <x:row r="787">
      <x:c r="A787" t="str">
        <x:v>pick up</x:v>
      </x:c>
      <x:c r="B787" t="str">
        <x:v>Otro</x:v>
      </x:c>
      <x:c r="C787" t="n">
        <x:v>1</x:v>
      </x:c>
      <x:c r="D787" t="n">
        <x:v>1</x:v>
      </x:c>
      <x:c r="E787" t="n">
        <x:v>0</x:v>
      </x:c>
      <x:c r="F787" t="n">
        <x:v>0</x:v>
      </x:c>
      <x:c r="G787" s="10" t="n">
        <x:v>0</x:v>
      </x:c>
      <x:c r="H787" s="10" t="n">
        <x:v>0</x:v>
      </x:c>
      <x:c r="I787" t="n">
        <x:v>0</x:v>
      </x:c>
      <x:c r="J787" s="6" t="n">
        <x:v>0</x:v>
      </x:c>
    </x:row>
    <x:row r="788">
      <x:c r="A788" t="str">
        <x:v>145-85-r400-michelin-x-79s</x:v>
      </x:c>
      <x:c r="B788" t="str">
        <x:v>Medida</x:v>
      </x:c>
      <x:c r="C788" t="n">
        <x:v>1</x:v>
      </x:c>
      <x:c r="D788" t="n">
        <x:v>1</x:v>
      </x:c>
      <x:c r="E788" t="n">
        <x:v>0</x:v>
      </x:c>
      <x:c r="F788" t="n">
        <x:v>0</x:v>
      </x:c>
      <x:c r="G788" s="10" t="n">
        <x:v>0</x:v>
      </x:c>
      <x:c r="H788" s="10" t="n">
        <x:v>0</x:v>
      </x:c>
      <x:c r="I788" t="n">
        <x:v>0</x:v>
      </x:c>
      <x:c r="J788" s="6" t="n">
        <x:v>0</x:v>
      </x:c>
    </x:row>
    <x:row r="789">
      <x:c r="A789" t="str">
        <x:v>150 70</x:v>
      </x:c>
      <x:c r="B789" t="str">
        <x:v>Otro</x:v>
      </x:c>
      <x:c r="C789" t="n">
        <x:v>1</x:v>
      </x:c>
      <x:c r="D789" t="n">
        <x:v>1</x:v>
      </x:c>
      <x:c r="E789" t="n">
        <x:v>0</x:v>
      </x:c>
      <x:c r="F789" t="n">
        <x:v>0</x:v>
      </x:c>
      <x:c r="G789" s="10" t="n">
        <x:v>0</x:v>
      </x:c>
      <x:c r="H789" s="10" t="n">
        <x:v>0</x:v>
      </x:c>
      <x:c r="I789" t="n">
        <x:v>0</x:v>
      </x:c>
      <x:c r="J789" s="6" t="n">
        <x:v>0</x:v>
      </x:c>
    </x:row>
    <x:row r="790">
      <x:c r="A790" t="str">
        <x:v>215 55 17</x:v>
      </x:c>
      <x:c r="B790" t="str">
        <x:v>Medida</x:v>
      </x:c>
      <x:c r="C790" t="n">
        <x:v>1</x:v>
      </x:c>
      <x:c r="D790" t="n">
        <x:v>1</x:v>
      </x:c>
      <x:c r="E790" t="n">
        <x:v>0</x:v>
      </x:c>
      <x:c r="F790" t="n">
        <x:v>0</x:v>
      </x:c>
      <x:c r="G790" s="10" t="n">
        <x:v>0</x:v>
      </x:c>
      <x:c r="H790" s="10" t="n">
        <x:v>0</x:v>
      </x:c>
      <x:c r="I790" t="n">
        <x:v>0</x:v>
      </x:c>
      <x:c r="J790" s="6" t="n">
        <x:v>0</x:v>
      </x:c>
    </x:row>
    <x:row r="791">
      <x:c r="A791" t="str">
        <x:v>lava-autos-toxic-shine-wax</x:v>
      </x:c>
      <x:c r="B791" t="str">
        <x:v>Otro</x:v>
      </x:c>
      <x:c r="C791" t="n">
        <x:v>1</x:v>
      </x:c>
      <x:c r="D791" t="n">
        <x:v>1</x:v>
      </x:c>
      <x:c r="E791" t="n">
        <x:v>0</x:v>
      </x:c>
      <x:c r="F791" t="n">
        <x:v>0</x:v>
      </x:c>
      <x:c r="G791" s="10" t="n">
        <x:v>0</x:v>
      </x:c>
      <x:c r="H791" s="10" t="n">
        <x:v>0</x:v>
      </x:c>
      <x:c r="I791" t="n">
        <x:v>0</x:v>
      </x:c>
      <x:c r="J791" s="6" t="n">
        <x:v>0</x:v>
      </x:c>
    </x:row>
    <x:row r="792">
      <x:c r="A792" t="str">
        <x:v>315</x:v>
      </x:c>
      <x:c r="B792" t="str">
        <x:v>Otro</x:v>
      </x:c>
      <x:c r="C792" t="n">
        <x:v>1</x:v>
      </x:c>
      <x:c r="D792" t="n">
        <x:v>1</x:v>
      </x:c>
      <x:c r="E792" t="n">
        <x:v>0</x:v>
      </x:c>
      <x:c r="F792" t="n">
        <x:v>0</x:v>
      </x:c>
      <x:c r="G792" s="10" t="n">
        <x:v>0</x:v>
      </x:c>
      <x:c r="H792" s="10" t="n">
        <x:v>0</x:v>
      </x:c>
      <x:c r="I792" t="n">
        <x:v>0</x:v>
      </x:c>
      <x:c r="J792" s="6" t="n">
        <x:v>0</x:v>
      </x:c>
    </x:row>
    <x:row r="793">
      <x:c r="A793" t="str">
        <x:v>225 70 r17</x:v>
      </x:c>
      <x:c r="B793" t="str">
        <x:v>Medida</x:v>
      </x:c>
      <x:c r="C793" t="n">
        <x:v>1</x:v>
      </x:c>
      <x:c r="D793" t="n">
        <x:v>1</x:v>
      </x:c>
      <x:c r="E793" t="n">
        <x:v>1</x:v>
      </x:c>
      <x:c r="F793" t="n">
        <x:v>1</x:v>
      </x:c>
      <x:c r="G793" s="10" t="n">
        <x:v>1</x:v>
      </x:c>
      <x:c r="H793" s="10" t="n">
        <x:v>0</x:v>
      </x:c>
      <x:c r="I793" t="n">
        <x:v>0</x:v>
      </x:c>
      <x:c r="J793" s="6" t="n">
        <x:v>0</x:v>
      </x:c>
    </x:row>
    <x:row r="794">
      <x:c r="A794" t="str">
        <x:v>michelin 265 65 18</x:v>
      </x:c>
      <x:c r="B794" t="str">
        <x:v>Medida</x:v>
      </x:c>
      <x:c r="C794" t="n">
        <x:v>1</x:v>
      </x:c>
      <x:c r="D794" t="n">
        <x:v>1</x:v>
      </x:c>
      <x:c r="E794" t="n">
        <x:v>0</x:v>
      </x:c>
      <x:c r="F794" t="n">
        <x:v>0</x:v>
      </x:c>
      <x:c r="G794" s="10" t="n">
        <x:v>0</x:v>
      </x:c>
      <x:c r="H794" s="10" t="n">
        <x:v>0</x:v>
      </x:c>
      <x:c r="I794" t="n">
        <x:v>0</x:v>
      </x:c>
      <x:c r="J794" s="6" t="n">
        <x:v>0</x:v>
      </x:c>
    </x:row>
    <x:row r="795">
      <x:c r="A795" t="str">
        <x:v>225-75-r15-fate-avantiar-ar-410-112-110-r</x:v>
      </x:c>
      <x:c r="B795" t="str">
        <x:v>Producto / URL</x:v>
      </x:c>
      <x:c r="C795" t="n">
        <x:v>1</x:v>
      </x:c>
      <x:c r="D795" t="n">
        <x:v>1</x:v>
      </x:c>
      <x:c r="E795" t="n">
        <x:v>0</x:v>
      </x:c>
      <x:c r="F795" t="n">
        <x:v>0</x:v>
      </x:c>
      <x:c r="G795" s="10" t="n">
        <x:v>0</x:v>
      </x:c>
      <x:c r="H795" s="10" t="n">
        <x:v>0</x:v>
      </x:c>
      <x:c r="I795" t="n">
        <x:v>0</x:v>
      </x:c>
      <x:c r="J795" s="6" t="n">
        <x:v>0</x:v>
      </x:c>
    </x:row>
    <x:row r="796">
      <x:c r="A796" t="str">
        <x:v>summax</x:v>
      </x:c>
      <x:c r="B796" t="str">
        <x:v>Otro</x:v>
      </x:c>
      <x:c r="C796" t="n">
        <x:v>1</x:v>
      </x:c>
      <x:c r="D796" t="n">
        <x:v>1</x:v>
      </x:c>
      <x:c r="E796" t="n">
        <x:v>0</x:v>
      </x:c>
      <x:c r="F796" t="n">
        <x:v>0</x:v>
      </x:c>
      <x:c r="G796" s="10" t="n">
        <x:v>0</x:v>
      </x:c>
      <x:c r="H796" s="10" t="n">
        <x:v>0</x:v>
      </x:c>
      <x:c r="I796" t="n">
        <x:v>0</x:v>
      </x:c>
      <x:c r="J796" s="6" t="n">
        <x:v>0</x:v>
      </x:c>
    </x:row>
    <x:row r="797">
      <x:c r="A797" t="str">
        <x:v>contacto</x:v>
      </x:c>
      <x:c r="B797" t="str">
        <x:v>Otro</x:v>
      </x:c>
      <x:c r="C797" t="n">
        <x:v>1</x:v>
      </x:c>
      <x:c r="D797" t="n">
        <x:v>1</x:v>
      </x:c>
      <x:c r="E797" t="n">
        <x:v>0</x:v>
      </x:c>
      <x:c r="F797" t="n">
        <x:v>0</x:v>
      </x:c>
      <x:c r="G797" s="10" t="n">
        <x:v>0</x:v>
      </x:c>
      <x:c r="H797" s="10" t="n">
        <x:v>0</x:v>
      </x:c>
      <x:c r="I797" t="n">
        <x:v>0</x:v>
      </x:c>
      <x:c r="J797" s="6" t="n">
        <x:v>0</x:v>
      </x:c>
    </x:row>
    <x:row r="798">
      <x:c r="A798" t="str">
        <x:v>305 55 20</x:v>
      </x:c>
      <x:c r="B798" t="str">
        <x:v>Medida</x:v>
      </x:c>
      <x:c r="C798" t="n">
        <x:v>1</x:v>
      </x:c>
      <x:c r="D798" t="n">
        <x:v>1</x:v>
      </x:c>
      <x:c r="E798" t="n">
        <x:v>0</x:v>
      </x:c>
      <x:c r="F798" t="n">
        <x:v>0</x:v>
      </x:c>
      <x:c r="G798" s="10" t="n">
        <x:v>0</x:v>
      </x:c>
      <x:c r="H798" s="10" t="n">
        <x:v>0</x:v>
      </x:c>
      <x:c r="I798" t="n">
        <x:v>0</x:v>
      </x:c>
      <x:c r="J798" s="6" t="n">
        <x:v>0</x:v>
      </x:c>
    </x:row>
    <x:row r="799">
      <x:c r="A799" t="str">
        <x:v>kit x23</x:v>
      </x:c>
      <x:c r="B799" t="str">
        <x:v>Otro</x:v>
      </x:c>
      <x:c r="C799" t="n">
        <x:v>1</x:v>
      </x:c>
      <x:c r="D799" t="n">
        <x:v>1</x:v>
      </x:c>
      <x:c r="E799" t="n">
        <x:v>0</x:v>
      </x:c>
      <x:c r="F799" t="n">
        <x:v>0</x:v>
      </x:c>
      <x:c r="G799" s="10" t="n">
        <x:v>0</x:v>
      </x:c>
      <x:c r="H799" s="10" t="n">
        <x:v>0</x:v>
      </x:c>
      <x:c r="I799" t="n">
        <x:v>0</x:v>
      </x:c>
      <x:c r="J799" s="6" t="n">
        <x:v>0</x:v>
      </x:c>
    </x:row>
    <x:row r="800">
      <x:c r="A800" t="str">
        <x:v>2254517</x:v>
      </x:c>
      <x:c r="B800" t="str">
        <x:v>Otro</x:v>
      </x:c>
      <x:c r="C800" t="n">
        <x:v>1</x:v>
      </x:c>
      <x:c r="D800" t="n">
        <x:v>1</x:v>
      </x:c>
      <x:c r="E800" t="n">
        <x:v>0</x:v>
      </x:c>
      <x:c r="F800" t="n">
        <x:v>0</x:v>
      </x:c>
      <x:c r="G800" s="10" t="n">
        <x:v>0</x:v>
      </x:c>
      <x:c r="H800" s="10" t="n">
        <x:v>0</x:v>
      </x:c>
      <x:c r="I800" t="n">
        <x:v>0</x:v>
      </x:c>
      <x:c r="J800" s="6" t="n">
        <x:v>0</x:v>
      </x:c>
    </x:row>
    <x:row r="801">
      <x:c r="A801" t="str">
        <x:v>bd goodrrich 265 65 17</x:v>
      </x:c>
      <x:c r="B801" t="str">
        <x:v>Medida</x:v>
      </x:c>
      <x:c r="C801" t="n">
        <x:v>1</x:v>
      </x:c>
      <x:c r="D801" t="n">
        <x:v>1</x:v>
      </x:c>
      <x:c r="E801" t="n">
        <x:v>0</x:v>
      </x:c>
      <x:c r="F801" t="n">
        <x:v>0</x:v>
      </x:c>
      <x:c r="G801" s="10" t="n">
        <x:v>0</x:v>
      </x:c>
      <x:c r="H801" s="10" t="n">
        <x:v>0</x:v>
      </x:c>
      <x:c r="I801" t="n">
        <x:v>0</x:v>
      </x:c>
      <x:c r="J801" s="6" t="n">
        <x:v>0</x:v>
      </x:c>
    </x:row>
    <x:row r="802">
      <x:c r="A802" t="str">
        <x:v>205 45 r16</x:v>
      </x:c>
      <x:c r="B802" t="str">
        <x:v>Medida</x:v>
      </x:c>
      <x:c r="C802" t="n">
        <x:v>1</x:v>
      </x:c>
      <x:c r="D802" t="n">
        <x:v>1</x:v>
      </x:c>
      <x:c r="E802" t="n">
        <x:v>0</x:v>
      </x:c>
      <x:c r="F802" t="n">
        <x:v>0</x:v>
      </x:c>
      <x:c r="G802" s="10" t="n">
        <x:v>0</x:v>
      </x:c>
      <x:c r="H802" s="10" t="n">
        <x:v>0</x:v>
      </x:c>
      <x:c r="I802" t="n">
        <x:v>0</x:v>
      </x:c>
      <x:c r="J802" s="6" t="n">
        <x:v>0</x:v>
      </x:c>
    </x:row>
    <x:row r="803">
      <x:c r="A803" t="str">
        <x:v>5.0x15</x:v>
      </x:c>
      <x:c r="B803" t="str">
        <x:v>Otro</x:v>
      </x:c>
      <x:c r="C803" t="n">
        <x:v>1</x:v>
      </x:c>
      <x:c r="D803" t="n">
        <x:v>1</x:v>
      </x:c>
      <x:c r="E803" t="n">
        <x:v>0</x:v>
      </x:c>
      <x:c r="F803" t="n">
        <x:v>0</x:v>
      </x:c>
      <x:c r="G803" s="10" t="n">
        <x:v>0</x:v>
      </x:c>
      <x:c r="H803" s="10" t="n">
        <x:v>0</x:v>
      </x:c>
      <x:c r="I803" t="n">
        <x:v>0</x:v>
      </x:c>
      <x:c r="J803" s="6" t="n">
        <x:v>0</x:v>
      </x:c>
    </x:row>
    <x:row r="804">
      <x:c r="A804" t="str">
        <x:v>cubierta moto 100 80 17</x:v>
      </x:c>
      <x:c r="B804" t="str">
        <x:v>Medida</x:v>
      </x:c>
      <x:c r="C804" t="n">
        <x:v>1</x:v>
      </x:c>
      <x:c r="D804" t="n">
        <x:v>1</x:v>
      </x:c>
      <x:c r="E804" t="n">
        <x:v>0</x:v>
      </x:c>
      <x:c r="F804" t="n">
        <x:v>0</x:v>
      </x:c>
      <x:c r="G804" s="10" t="n">
        <x:v>0</x:v>
      </x:c>
      <x:c r="H804" s="10" t="n">
        <x:v>0</x:v>
      </x:c>
      <x:c r="I804" t="n">
        <x:v>0</x:v>
      </x:c>
      <x:c r="J804" s="6" t="n">
        <x:v>0</x:v>
      </x:c>
    </x:row>
    <x:row r="805">
      <x:c r="A805" t="str">
        <x:v>rodado 16</x:v>
      </x:c>
      <x:c r="B805" t="str">
        <x:v>Otro</x:v>
      </x:c>
      <x:c r="C805" t="n">
        <x:v>1</x:v>
      </x:c>
      <x:c r="D805" t="n">
        <x:v>1</x:v>
      </x:c>
      <x:c r="E805" t="n">
        <x:v>0</x:v>
      </x:c>
      <x:c r="F805" t="n">
        <x:v>0</x:v>
      </x:c>
      <x:c r="G805" s="10" t="n">
        <x:v>0</x:v>
      </x:c>
      <x:c r="H805" s="10" t="n">
        <x:v>0</x:v>
      </x:c>
      <x:c r="I805" t="n">
        <x:v>0</x:v>
      </x:c>
      <x:c r="J805" s="6" t="n">
        <x:v>0</x:v>
      </x:c>
    </x:row>
    <x:row r="806">
      <x:c r="A806" t="str">
        <x:v>cubiertas 215</x:v>
      </x:c>
      <x:c r="B806" t="str">
        <x:v>Otro</x:v>
      </x:c>
      <x:c r="C806" t="n">
        <x:v>1</x:v>
      </x:c>
      <x:c r="D806" t="n">
        <x:v>1</x:v>
      </x:c>
      <x:c r="E806" t="n">
        <x:v>0</x:v>
      </x:c>
      <x:c r="F806" t="n">
        <x:v>0</x:v>
      </x:c>
      <x:c r="G806" s="10" t="n">
        <x:v>0</x:v>
      </x:c>
      <x:c r="H806" s="10" t="n">
        <x:v>0</x:v>
      </x:c>
      <x:c r="I806" t="n">
        <x:v>0</x:v>
      </x:c>
      <x:c r="J806" s="6" t="n">
        <x:v>0</x:v>
      </x:c>
    </x:row>
    <x:row r="807">
      <x:c r="A807" t="str">
        <x:v>michelin p5205 55 r16 p4v</x:v>
      </x:c>
      <x:c r="B807" t="str">
        <x:v>Medida</x:v>
      </x:c>
      <x:c r="C807" t="n">
        <x:v>1</x:v>
      </x:c>
      <x:c r="D807" t="n">
        <x:v>1</x:v>
      </x:c>
      <x:c r="E807" t="n">
        <x:v>0</x:v>
      </x:c>
      <x:c r="F807" t="n">
        <x:v>0</x:v>
      </x:c>
      <x:c r="G807" s="10" t="n">
        <x:v>0</x:v>
      </x:c>
      <x:c r="H807" s="10" t="n">
        <x:v>0</x:v>
      </x:c>
      <x:c r="I807" t="n">
        <x:v>0</x:v>
      </x:c>
      <x:c r="J807" s="6" t="n">
        <x:v>0</x:v>
      </x:c>
    </x:row>
    <x:row r="808">
      <x:c r="A808" t="str">
        <x:v>45 r16</x:v>
      </x:c>
      <x:c r="B808" t="str">
        <x:v>Otro</x:v>
      </x:c>
      <x:c r="C808" t="n">
        <x:v>1</x:v>
      </x:c>
      <x:c r="D808" t="n">
        <x:v>1</x:v>
      </x:c>
      <x:c r="E808" t="n">
        <x:v>0</x:v>
      </x:c>
      <x:c r="F808" t="n">
        <x:v>0</x:v>
      </x:c>
      <x:c r="G808" s="10" t="n">
        <x:v>0</x:v>
      </x:c>
      <x:c r="H808" s="10" t="n">
        <x:v>0</x:v>
      </x:c>
      <x:c r="I808" t="n">
        <x:v>0</x:v>
      </x:c>
      <x:c r="J808" s="6" t="n">
        <x:v>0</x:v>
      </x:c>
    </x:row>
    <x:row r="809">
      <x:c r="A809" t="str">
        <x:v>235 50 18</x:v>
      </x:c>
      <x:c r="B809" t="str">
        <x:v>Medida</x:v>
      </x:c>
      <x:c r="C809" t="n">
        <x:v>1</x:v>
      </x:c>
      <x:c r="D809" t="n">
        <x:v>1</x:v>
      </x:c>
      <x:c r="E809" t="n">
        <x:v>0</x:v>
      </x:c>
      <x:c r="F809" t="n">
        <x:v>0</x:v>
      </x:c>
      <x:c r="G809" s="10" t="n">
        <x:v>0</x:v>
      </x:c>
      <x:c r="H809" s="10" t="n">
        <x:v>0</x:v>
      </x:c>
      <x:c r="I809" t="n">
        <x:v>0</x:v>
      </x:c>
      <x:c r="J809" s="6" t="n">
        <x:v>0</x:v>
      </x:c>
    </x:row>
    <x:row r="810">
      <x:c r="A810" t="str">
        <x:v>40--off-en-la-segunda-unidad</x:v>
      </x:c>
      <x:c r="B810" t="str">
        <x:v>Otro</x:v>
      </x:c>
      <x:c r="C810" t="n">
        <x:v>1</x:v>
      </x:c>
      <x:c r="D810" t="n">
        <x:v>1</x:v>
      </x:c>
      <x:c r="E810" t="n">
        <x:v>0</x:v>
      </x:c>
      <x:c r="F810" t="n">
        <x:v>0</x:v>
      </x:c>
      <x:c r="G810" s="10" t="n">
        <x:v>0</x:v>
      </x:c>
      <x:c r="H810" s="10" t="n">
        <x:v>0</x:v>
      </x:c>
      <x:c r="I810" t="n">
        <x:v>0</x:v>
      </x:c>
      <x:c r="J810" s="6" t="n">
        <x:v>0</x:v>
      </x:c>
    </x:row>
    <x:row r="811">
      <x:c r="A811" t="str">
        <x:v>continental 195</x:v>
      </x:c>
      <x:c r="B811" t="str">
        <x:v>Otro</x:v>
      </x:c>
      <x:c r="C811" t="n">
        <x:v>1</x:v>
      </x:c>
      <x:c r="D811" t="n">
        <x:v>1</x:v>
      </x:c>
      <x:c r="E811" t="n">
        <x:v>0</x:v>
      </x:c>
      <x:c r="F811" t="n">
        <x:v>0</x:v>
      </x:c>
      <x:c r="G811" s="10" t="n">
        <x:v>0</x:v>
      </x:c>
      <x:c r="H811" s="10" t="n">
        <x:v>0</x:v>
      </x:c>
      <x:c r="I811" t="n">
        <x:v>0</x:v>
      </x:c>
      <x:c r="J811" s="6" t="n">
        <x:v>0</x:v>
      </x:c>
    </x:row>
    <x:row r="812">
      <x:c r="A812" t="str">
        <x:v>neumaticos 175</x:v>
      </x:c>
      <x:c r="B812" t="str">
        <x:v>Otro</x:v>
      </x:c>
      <x:c r="C812" t="n">
        <x:v>1</x:v>
      </x:c>
      <x:c r="D812" t="n">
        <x:v>1</x:v>
      </x:c>
      <x:c r="E812" t="n">
        <x:v>0</x:v>
      </x:c>
      <x:c r="F812" t="n">
        <x:v>0</x:v>
      </x:c>
      <x:c r="G812" s="10" t="n">
        <x:v>0</x:v>
      </x:c>
      <x:c r="H812" s="10" t="n">
        <x:v>0</x:v>
      </x:c>
      <x:c r="I812" t="n">
        <x:v>0</x:v>
      </x:c>
      <x:c r="J812" s="6" t="n">
        <x:v>0</x:v>
      </x:c>
    </x:row>
    <x:row r="813">
      <x:c r="A813" t="str">
        <x:v>michelin 450</x:v>
      </x:c>
      <x:c r="B813" t="str">
        <x:v>Otro</x:v>
      </x:c>
      <x:c r="C813" t="n">
        <x:v>1</x:v>
      </x:c>
      <x:c r="D813" t="n">
        <x:v>1</x:v>
      </x:c>
      <x:c r="E813" t="n">
        <x:v>0</x:v>
      </x:c>
      <x:c r="F813" t="n">
        <x:v>0</x:v>
      </x:c>
      <x:c r="G813" s="10" t="n">
        <x:v>0</x:v>
      </x:c>
      <x:c r="H813" s="10" t="n">
        <x:v>0</x:v>
      </x:c>
      <x:c r="I813" t="n">
        <x:v>0</x:v>
      </x:c>
      <x:c r="J813" s="6" t="n">
        <x:v>0</x:v>
      </x:c>
    </x:row>
    <x:row r="814">
      <x:c r="A814" t="str">
        <x:v>232</x:v>
      </x:c>
      <x:c r="B814" t="str">
        <x:v>Otro</x:v>
      </x:c>
      <x:c r="C814" t="n">
        <x:v>1</x:v>
      </x:c>
      <x:c r="D814" t="n">
        <x:v>1</x:v>
      </x:c>
      <x:c r="E814" t="n">
        <x:v>0</x:v>
      </x:c>
      <x:c r="F814" t="n">
        <x:v>0</x:v>
      </x:c>
      <x:c r="G814" s="10" t="n">
        <x:v>0</x:v>
      </x:c>
      <x:c r="H814" s="10" t="n">
        <x:v>0</x:v>
      </x:c>
      <x:c r="I814" t="n">
        <x:v>0</x:v>
      </x:c>
      <x:c r="J814" s="6" t="n">
        <x:v>0</x:v>
      </x:c>
    </x:row>
    <x:row r="815">
      <x:c r="A815" t="str">
        <x:v>225 55 r18</x:v>
      </x:c>
      <x:c r="B815" t="str">
        <x:v>Medida</x:v>
      </x:c>
      <x:c r="C815" t="n">
        <x:v>1</x:v>
      </x:c>
      <x:c r="D815" t="n">
        <x:v>1</x:v>
      </x:c>
      <x:c r="E815" t="n">
        <x:v>0</x:v>
      </x:c>
      <x:c r="F815" t="n">
        <x:v>0</x:v>
      </x:c>
      <x:c r="G815" s="10" t="n">
        <x:v>0</x:v>
      </x:c>
      <x:c r="H815" s="10" t="n">
        <x:v>0</x:v>
      </x:c>
      <x:c r="I815" t="n">
        <x:v>0</x:v>
      </x:c>
      <x:c r="J815" s="6" t="n">
        <x:v>0</x:v>
      </x:c>
    </x:row>
    <x:row r="816">
      <x:c r="A816" t="str">
        <x:v>michelin 265 65 r18</x:v>
      </x:c>
      <x:c r="B816" t="str">
        <x:v>Medida</x:v>
      </x:c>
      <x:c r="C816" t="n">
        <x:v>1</x:v>
      </x:c>
      <x:c r="D816" t="n">
        <x:v>1</x:v>
      </x:c>
      <x:c r="E816" t="n">
        <x:v>0</x:v>
      </x:c>
      <x:c r="F816" t="n">
        <x:v>0</x:v>
      </x:c>
      <x:c r="G816" s="10" t="n">
        <x:v>0</x:v>
      </x:c>
      <x:c r="H816" s="10" t="n">
        <x:v>0</x:v>
      </x:c>
      <x:c r="I816" t="n">
        <x:v>0</x:v>
      </x:c>
      <x:c r="J816" s="6" t="n">
        <x:v>0</x:v>
      </x:c>
    </x:row>
    <x:row r="817">
      <x:c r="A817" t="str">
        <x:v>650 x 16</x:v>
      </x:c>
      <x:c r="B817" t="str">
        <x:v>Otro</x:v>
      </x:c>
      <x:c r="C817" t="n">
        <x:v>1</x:v>
      </x:c>
      <x:c r="D817" t="n">
        <x:v>1</x:v>
      </x:c>
      <x:c r="E817" t="n">
        <x:v>0</x:v>
      </x:c>
      <x:c r="F817" t="n">
        <x:v>0</x:v>
      </x:c>
      <x:c r="G817" s="10" t="n">
        <x:v>0</x:v>
      </x:c>
      <x:c r="H817" s="10" t="n">
        <x:v>0</x:v>
      </x:c>
      <x:c r="I817" t="n">
        <x:v>0</x:v>
      </x:c>
      <x:c r="J817" s="6" t="n">
        <x:v>0</x:v>
      </x:c>
    </x:row>
    <x:row r="818">
      <x:c r="A818" t="str">
        <x:v>diablo rosso</x:v>
      </x:c>
      <x:c r="B818" t="str">
        <x:v>Otro</x:v>
      </x:c>
      <x:c r="C818" t="n">
        <x:v>1</x:v>
      </x:c>
      <x:c r="D818" t="n">
        <x:v>1</x:v>
      </x:c>
      <x:c r="E818" t="n">
        <x:v>0</x:v>
      </x:c>
      <x:c r="F818" t="n">
        <x:v>0</x:v>
      </x:c>
      <x:c r="G818" s="10" t="n">
        <x:v>0</x:v>
      </x:c>
      <x:c r="H818" s="10" t="n">
        <x:v>0</x:v>
      </x:c>
      <x:c r="I818" t="n">
        <x:v>0</x:v>
      </x:c>
      <x:c r="J818" s="6" t="n">
        <x:v>0</x:v>
      </x:c>
    </x:row>
    <x:row r="819">
      <x:c r="A819" t="str">
        <x:v>33x12.5</x:v>
      </x:c>
      <x:c r="B819" t="str">
        <x:v>Otro</x:v>
      </x:c>
      <x:c r="C819" t="n">
        <x:v>1</x:v>
      </x:c>
      <x:c r="D819" t="n">
        <x:v>1</x:v>
      </x:c>
      <x:c r="E819" t="n">
        <x:v>0</x:v>
      </x:c>
      <x:c r="F819" t="n">
        <x:v>0</x:v>
      </x:c>
      <x:c r="G819" s="10" t="n">
        <x:v>0</x:v>
      </x:c>
      <x:c r="H819" s="10" t="n">
        <x:v>0</x:v>
      </x:c>
      <x:c r="I819" t="n">
        <x:v>0</x:v>
      </x:c>
      <x:c r="J819" s="6" t="n">
        <x:v>0</x:v>
      </x:c>
    </x:row>
    <x:row r="820">
      <x:c r="A820" t="str">
        <x:v>205 45 r17</x:v>
      </x:c>
      <x:c r="B820" t="str">
        <x:v>Medida</x:v>
      </x:c>
      <x:c r="C820" t="n">
        <x:v>1</x:v>
      </x:c>
      <x:c r="D820" t="n">
        <x:v>1</x:v>
      </x:c>
      <x:c r="E820" t="n">
        <x:v>0</x:v>
      </x:c>
      <x:c r="F820" t="n">
        <x:v>0</x:v>
      </x:c>
      <x:c r="G820" s="10" t="n">
        <x:v>0</x:v>
      </x:c>
      <x:c r="H820" s="10" t="n">
        <x:v>0</x:v>
      </x:c>
      <x:c r="I820" t="n">
        <x:v>0</x:v>
      </x:c>
      <x:c r="J820" s="6" t="n">
        <x:v>0</x:v>
      </x:c>
    </x:row>
    <x:row r="821">
      <x:c r="A821" t="str">
        <x:v>2056515</x:v>
      </x:c>
      <x:c r="B821" t="str">
        <x:v>Otro</x:v>
      </x:c>
      <x:c r="C821" t="n">
        <x:v>1</x:v>
      </x:c>
      <x:c r="D821" t="n">
        <x:v>1</x:v>
      </x:c>
      <x:c r="E821" t="n">
        <x:v>0</x:v>
      </x:c>
      <x:c r="F821" t="n">
        <x:v>0</x:v>
      </x:c>
      <x:c r="G821" s="10" t="n">
        <x:v>0</x:v>
      </x:c>
      <x:c r="H821" s="10" t="n">
        <x:v>0</x:v>
      </x:c>
      <x:c r="I821" t="n">
        <x:v>0</x:v>
      </x:c>
      <x:c r="J821" s="6" t="n">
        <x:v>0</x:v>
      </x:c>
    </x:row>
    <x:row r="822">
      <x:c r="A822" t="str">
        <x:v>265 65 17 bfgoodrich</x:v>
      </x:c>
      <x:c r="B822" t="str">
        <x:v>Medida</x:v>
      </x:c>
      <x:c r="C822" t="n">
        <x:v>1</x:v>
      </x:c>
      <x:c r="D822" t="n">
        <x:v>1</x:v>
      </x:c>
      <x:c r="E822" t="n">
        <x:v>0</x:v>
      </x:c>
      <x:c r="F822" t="n">
        <x:v>0</x:v>
      </x:c>
      <x:c r="G822" s="10" t="n">
        <x:v>0</x:v>
      </x:c>
      <x:c r="H822" s="10" t="n">
        <x:v>0</x:v>
      </x:c>
      <x:c r="I822" t="n">
        <x:v>0</x:v>
      </x:c>
      <x:c r="J822" s="6" t="n">
        <x:v>0</x:v>
      </x:c>
    </x:row>
    <x:row r="823">
      <x:c r="A823" t="str">
        <x:v>crossclimate2</x:v>
      </x:c>
      <x:c r="B823" t="str">
        <x:v>Otro</x:v>
      </x:c>
      <x:c r="C823" t="n">
        <x:v>1</x:v>
      </x:c>
      <x:c r="D823" t="n">
        <x:v>1</x:v>
      </x:c>
      <x:c r="E823" t="n">
        <x:v>0</x:v>
      </x:c>
      <x:c r="F823" t="n">
        <x:v>0</x:v>
      </x:c>
      <x:c r="G823" s="10" t="n">
        <x:v>0</x:v>
      </x:c>
      <x:c r="H823" s="10" t="n">
        <x:v>0</x:v>
      </x:c>
      <x:c r="I823" t="n">
        <x:v>0</x:v>
      </x:c>
      <x:c r="J823" s="6" t="n">
        <x:v>0</x:v>
      </x:c>
    </x:row>
    <x:row r="824">
      <x:c r="A824" t="str">
        <x:v>primacy 205 55 16</x:v>
      </x:c>
      <x:c r="B824" t="str">
        <x:v>Medida</x:v>
      </x:c>
      <x:c r="C824" t="n">
        <x:v>1</x:v>
      </x:c>
      <x:c r="D824" t="n">
        <x:v>1</x:v>
      </x:c>
      <x:c r="E824" t="n">
        <x:v>0</x:v>
      </x:c>
      <x:c r="F824" t="n">
        <x:v>0</x:v>
      </x:c>
      <x:c r="G824" s="10" t="n">
        <x:v>0</x:v>
      </x:c>
      <x:c r="H824" s="10" t="n">
        <x:v>0</x:v>
      </x:c>
      <x:c r="I824" t="n">
        <x:v>0</x:v>
      </x:c>
      <x:c r="J824" s="6" t="n">
        <x:v>0</x:v>
      </x:c>
    </x:row>
    <x:row r="825">
      <x:c r="A825" t="str">
        <x:v>contactanos</x:v>
      </x:c>
      <x:c r="B825" t="str">
        <x:v>Otro</x:v>
      </x:c>
      <x:c r="C825" t="n">
        <x:v>1</x:v>
      </x:c>
      <x:c r="D825" t="n">
        <x:v>1</x:v>
      </x:c>
      <x:c r="E825" t="n">
        <x:v>0</x:v>
      </x:c>
      <x:c r="F825" t="n">
        <x:v>0</x:v>
      </x:c>
      <x:c r="G825" s="10" t="n">
        <x:v>0</x:v>
      </x:c>
      <x:c r="H825" s="10" t="n">
        <x:v>0</x:v>
      </x:c>
      <x:c r="I825" t="n">
        <x:v>0</x:v>
      </x:c>
      <x:c r="J825" s="6" t="n">
        <x:v>0</x:v>
      </x:c>
    </x:row>
    <x:row r="826">
      <x:c r="A826" t="str">
        <x:v>nosotros</x:v>
      </x:c>
      <x:c r="B826" t="str">
        <x:v>Otro</x:v>
      </x:c>
      <x:c r="C826" t="n">
        <x:v>1</x:v>
      </x:c>
      <x:c r="D826" t="n">
        <x:v>1</x:v>
      </x:c>
      <x:c r="E826" t="n">
        <x:v>0</x:v>
      </x:c>
      <x:c r="F826" t="n">
        <x:v>0</x:v>
      </x:c>
      <x:c r="G826" s="10" t="n">
        <x:v>0</x:v>
      </x:c>
      <x:c r="H826" s="10" t="n">
        <x:v>0</x:v>
      </x:c>
      <x:c r="I826" t="n">
        <x:v>0</x:v>
      </x:c>
      <x:c r="J826" s="6" t="n">
        <x:v>0</x:v>
      </x:c>
    </x:row>
    <x:row r="827">
      <x:c r="A827" t="str">
        <x:v>170 60 17</x:v>
      </x:c>
      <x:c r="B827" t="str">
        <x:v>Medida</x:v>
      </x:c>
      <x:c r="C827" t="n">
        <x:v>1</x:v>
      </x:c>
      <x:c r="D827" t="n">
        <x:v>1</x:v>
      </x:c>
      <x:c r="E827" t="n">
        <x:v>0</x:v>
      </x:c>
      <x:c r="F827" t="n">
        <x:v>0</x:v>
      </x:c>
      <x:c r="G827" s="10" t="n">
        <x:v>0</x:v>
      </x:c>
      <x:c r="H827" s="10" t="n">
        <x:v>0</x:v>
      </x:c>
      <x:c r="I827" t="n">
        <x:v>0</x:v>
      </x:c>
      <x:c r="J827" s="6" t="n">
        <x:v>0</x:v>
      </x:c>
    </x:row>
    <x:row r="828">
      <x:c r="A828" t="str">
        <x:v>13627NXK</x:v>
      </x:c>
      <x:c r="B828" t="str">
        <x:v>Otro</x:v>
      </x:c>
      <x:c r="C828" t="n">
        <x:v>1</x:v>
      </x:c>
      <x:c r="D828" t="n">
        <x:v>1</x:v>
      </x:c>
      <x:c r="E828" t="n">
        <x:v>0</x:v>
      </x:c>
      <x:c r="F828" t="n">
        <x:v>0</x:v>
      </x:c>
      <x:c r="G828" s="10" t="n">
        <x:v>0</x:v>
      </x:c>
      <x:c r="H828" s="10" t="n">
        <x:v>0</x:v>
      </x:c>
      <x:c r="I828" t="n">
        <x:v>0</x:v>
      </x:c>
      <x:c r="J828" s="6" t="n">
        <x:v>0</x:v>
      </x:c>
    </x:row>
    <x:row r="829">
      <x:c r="A829" t="str">
        <x:v>130 80 17</x:v>
      </x:c>
      <x:c r="B829" t="str">
        <x:v>Medida</x:v>
      </x:c>
      <x:c r="C829" t="n">
        <x:v>1</x:v>
      </x:c>
      <x:c r="D829" t="n">
        <x:v>1</x:v>
      </x:c>
      <x:c r="E829" t="n">
        <x:v>1</x:v>
      </x:c>
      <x:c r="F829" t="n">
        <x:v>1</x:v>
      </x:c>
      <x:c r="G829" s="10" t="n">
        <x:v>1</x:v>
      </x:c>
      <x:c r="H829" s="10" t="n">
        <x:v>0</x:v>
      </x:c>
      <x:c r="I829" t="n">
        <x:v>0</x:v>
      </x:c>
      <x:c r="J829" s="6" t="n">
        <x:v>0</x:v>
      </x:c>
    </x:row>
    <x:row r="830">
      <x:c r="A830" t="str">
        <x:v>summax-off-road-18-cuotas-sin-interes</x:v>
      </x:c>
      <x:c r="B830" t="str">
        <x:v>Otro</x:v>
      </x:c>
      <x:c r="C830" t="n">
        <x:v>1</x:v>
      </x:c>
      <x:c r="D830" t="n">
        <x:v>1</x:v>
      </x:c>
      <x:c r="E830" t="n">
        <x:v>0</x:v>
      </x:c>
      <x:c r="F830" t="n">
        <x:v>0</x:v>
      </x:c>
      <x:c r="G830" s="10" t="n">
        <x:v>0</x:v>
      </x:c>
      <x:c r="H830" s="10" t="n">
        <x:v>0</x:v>
      </x:c>
      <x:c r="I830" t="n">
        <x:v>0</x:v>
      </x:c>
      <x:c r="J830" s="6" t="n">
        <x:v>0</x:v>
      </x:c>
    </x:row>
    <x:row r="831">
      <x:c r="A831" t="str">
        <x:v>vr</x:v>
      </x:c>
      <x:c r="B831" t="str">
        <x:v>Otro</x:v>
      </x:c>
      <x:c r="C831" t="n">
        <x:v>1</x:v>
      </x:c>
      <x:c r="D831" t="n">
        <x:v>1</x:v>
      </x:c>
      <x:c r="E831" t="n">
        <x:v>0</x:v>
      </x:c>
      <x:c r="F831" t="n">
        <x:v>0</x:v>
      </x:c>
      <x:c r="G831" s="10" t="n">
        <x:v>0</x:v>
      </x:c>
      <x:c r="H831" s="10" t="n">
        <x:v>0</x:v>
      </x:c>
      <x:c r="I831" t="n">
        <x:v>0</x:v>
      </x:c>
      <x:c r="J831" s="6" t="n">
        <x:v>0</x:v>
      </x:c>
    </x:row>
    <x:row r="832">
      <x:c r="A832" t="str">
        <x:v>235 55</x:v>
      </x:c>
      <x:c r="B832" t="str">
        <x:v>Otro</x:v>
      </x:c>
      <x:c r="C832" t="n">
        <x:v>1</x:v>
      </x:c>
      <x:c r="D832" t="n">
        <x:v>1</x:v>
      </x:c>
      <x:c r="E832" t="n">
        <x:v>0</x:v>
      </x:c>
      <x:c r="F832" t="n">
        <x:v>0</x:v>
      </x:c>
      <x:c r="G832" s="10" t="n">
        <x:v>0</x:v>
      </x:c>
      <x:c r="H832" s="10" t="n">
        <x:v>0</x:v>
      </x:c>
      <x:c r="I832" t="n">
        <x:v>0</x:v>
      </x:c>
      <x:c r="J832" s="6" t="n">
        <x:v>0</x:v>
      </x:c>
    </x:row>
    <x:row r="833">
      <x:c r="A833" t="str">
        <x:v>235-55-zr19-mastersteel-supersport-105xlw-1</x:v>
      </x:c>
      <x:c r="B833" t="str">
        <x:v>Otro</x:v>
      </x:c>
      <x:c r="C833" t="n">
        <x:v>1</x:v>
      </x:c>
      <x:c r="D833" t="n">
        <x:v>1</x:v>
      </x:c>
      <x:c r="E833" t="n">
        <x:v>0</x:v>
      </x:c>
      <x:c r="F833" t="n">
        <x:v>0</x:v>
      </x:c>
      <x:c r="G833" s="10" t="n">
        <x:v>0</x:v>
      </x:c>
      <x:c r="H833" s="10" t="n">
        <x:v>0</x:v>
      </x:c>
      <x:c r="I833" t="n">
        <x:v>0</x:v>
      </x:c>
      <x:c r="J833" s="6" t="n">
        <x:v>0</x:v>
      </x:c>
    </x:row>
    <x:row r="834">
      <x:c r="A834" t="str">
        <x:v>31</x:v>
      </x:c>
      <x:c r="B834" t="str">
        <x:v>Otro</x:v>
      </x:c>
      <x:c r="C834" t="n">
        <x:v>1</x:v>
      </x:c>
      <x:c r="D834" t="n">
        <x:v>1</x:v>
      </x:c>
      <x:c r="E834" t="n">
        <x:v>0</x:v>
      </x:c>
      <x:c r="F834" t="n">
        <x:v>0</x:v>
      </x:c>
      <x:c r="G834" s="10" t="n">
        <x:v>0</x:v>
      </x:c>
      <x:c r="H834" s="10" t="n">
        <x:v>0</x:v>
      </x:c>
      <x:c r="I834" t="n">
        <x:v>0</x:v>
      </x:c>
      <x:c r="J834" s="6" t="n">
        <x:v>0</x:v>
      </x:c>
    </x:row>
    <x:row r="835">
      <x:c r="A835" t="str">
        <x:v>cargador-y-arrancador-para-motores-gamma-12v-24v-250a-1</x:v>
      </x:c>
      <x:c r="B835" t="str">
        <x:v>Otro</x:v>
      </x:c>
      <x:c r="C835" t="n">
        <x:v>1</x:v>
      </x:c>
      <x:c r="D835" t="n">
        <x:v>1</x:v>
      </x:c>
      <x:c r="E835" t="n">
        <x:v>0</x:v>
      </x:c>
      <x:c r="F835" t="n">
        <x:v>0</x:v>
      </x:c>
      <x:c r="G835" s="10" t="n">
        <x:v>0</x:v>
      </x:c>
      <x:c r="H835" s="10" t="n">
        <x:v>0</x:v>
      </x:c>
      <x:c r="I835" t="n">
        <x:v>0</x:v>
      </x:c>
      <x:c r="J835" s="6" t="n">
        <x:v>0</x:v>
      </x:c>
    </x:row>
    <x:row r="836">
      <x:c r="A836" t="str">
        <x:v>235 60 r17 yokohama</x:v>
      </x:c>
      <x:c r="B836" t="str">
        <x:v>Medida</x:v>
      </x:c>
      <x:c r="C836" t="n">
        <x:v>1</x:v>
      </x:c>
      <x:c r="D836" t="n">
        <x:v>1</x:v>
      </x:c>
      <x:c r="E836" t="n">
        <x:v>0</x:v>
      </x:c>
      <x:c r="F836" t="n">
        <x:v>0</x:v>
      </x:c>
      <x:c r="G836" s="10" t="n">
        <x:v>0</x:v>
      </x:c>
      <x:c r="H836" s="10" t="n">
        <x:v>0</x:v>
      </x:c>
      <x:c r="I836" t="n">
        <x:v>0</x:v>
      </x:c>
      <x:c r="J836" s="6" t="n">
        <x:v>0</x:v>
      </x:c>
    </x:row>
    <x:row r="837">
      <x:c r="A837" t="str">
        <x:v>continental 250 55 17</x:v>
      </x:c>
      <x:c r="B837" t="str">
        <x:v>Medida</x:v>
      </x:c>
      <x:c r="C837" t="n">
        <x:v>1</x:v>
      </x:c>
      <x:c r="D837" t="n">
        <x:v>1</x:v>
      </x:c>
      <x:c r="E837" t="n">
        <x:v>0</x:v>
      </x:c>
      <x:c r="F837" t="n">
        <x:v>0</x:v>
      </x:c>
      <x:c r="G837" s="10" t="n">
        <x:v>0</x:v>
      </x:c>
      <x:c r="H837" s="10" t="n">
        <x:v>0</x:v>
      </x:c>
      <x:c r="I837" t="n">
        <x:v>0</x:v>
      </x:c>
      <x:c r="J837" s="6" t="n">
        <x:v>0</x:v>
      </x:c>
    </x:row>
    <x:row r="838">
      <x:c r="A838" t="str">
        <x:v>740443</x:v>
      </x:c>
      <x:c r="B838" t="str">
        <x:v>Otro</x:v>
      </x:c>
      <x:c r="C838" t="n">
        <x:v>1</x:v>
      </x:c>
      <x:c r="D838" t="n">
        <x:v>1</x:v>
      </x:c>
      <x:c r="E838" t="n">
        <x:v>0</x:v>
      </x:c>
      <x:c r="F838" t="n">
        <x:v>0</x:v>
      </x:c>
      <x:c r="G838" s="10" t="n">
        <x:v>0</x:v>
      </x:c>
      <x:c r="H838" s="10" t="n">
        <x:v>0</x:v>
      </x:c>
      <x:c r="I838" t="n">
        <x:v>0</x:v>
      </x:c>
      <x:c r="J838" s="6" t="n">
        <x:v>0</x:v>
      </x:c>
    </x:row>
    <x:row r="839">
      <x:c r="A839" t="str">
        <x:v>contact</x:v>
      </x:c>
      <x:c r="B839" t="str">
        <x:v>Otro</x:v>
      </x:c>
      <x:c r="C839" t="n">
        <x:v>1</x:v>
      </x:c>
      <x:c r="D839" t="n">
        <x:v>1</x:v>
      </x:c>
      <x:c r="E839" t="n">
        <x:v>0</x:v>
      </x:c>
      <x:c r="F839" t="n">
        <x:v>0</x:v>
      </x:c>
      <x:c r="G839" s="10" t="n">
        <x:v>0</x:v>
      </x:c>
      <x:c r="H839" s="10" t="n">
        <x:v>0</x:v>
      </x:c>
      <x:c r="I839" t="n">
        <x:v>0</x:v>
      </x:c>
      <x:c r="J839" s="6" t="n">
        <x:v>0</x:v>
      </x:c>
    </x:row>
    <x:row r="840">
      <x:c r="A840" t="str">
        <x:v>185 45 15</x:v>
      </x:c>
      <x:c r="B840" t="str">
        <x:v>Medida</x:v>
      </x:c>
      <x:c r="C840" t="n">
        <x:v>1</x:v>
      </x:c>
      <x:c r="D840" t="n">
        <x:v>1</x:v>
      </x:c>
      <x:c r="E840" t="n">
        <x:v>0</x:v>
      </x:c>
      <x:c r="F840" t="n">
        <x:v>0</x:v>
      </x:c>
      <x:c r="G840" s="10" t="n">
        <x:v>0</x:v>
      </x:c>
      <x:c r="H840" s="10" t="n">
        <x:v>0</x:v>
      </x:c>
      <x:c r="I840" t="n">
        <x:v>0</x:v>
      </x:c>
      <x:c r="J840" s="6" t="n">
        <x:v>0</x:v>
      </x:c>
    </x:row>
    <x:row r="841">
      <x:c r="A841" t="str">
        <x:v>195 70 14</x:v>
      </x:c>
      <x:c r="B841" t="str">
        <x:v>Medida</x:v>
      </x:c>
      <x:c r="C841" t="n">
        <x:v>1</x:v>
      </x:c>
      <x:c r="D841" t="n">
        <x:v>1</x:v>
      </x:c>
      <x:c r="E841" t="n">
        <x:v>0</x:v>
      </x:c>
      <x:c r="F841" t="n">
        <x:v>0</x:v>
      </x:c>
      <x:c r="G841" s="10" t="n">
        <x:v>0</x:v>
      </x:c>
      <x:c r="H841" s="10" t="n">
        <x:v>0</x:v>
      </x:c>
      <x:c r="I841" t="n">
        <x:v>0</x:v>
      </x:c>
      <x:c r="J841" s="6" t="n">
        <x:v>0</x:v>
      </x:c>
    </x:row>
    <x:row r="842">
      <x:c r="A842" t="str">
        <x:v>neumatico r 15</x:v>
      </x:c>
      <x:c r="B842" t="str">
        <x:v>Otro</x:v>
      </x:c>
      <x:c r="C842" t="n">
        <x:v>1</x:v>
      </x:c>
      <x:c r="D842" t="n">
        <x:v>1</x:v>
      </x:c>
      <x:c r="E842" t="n">
        <x:v>0</x:v>
      </x:c>
      <x:c r="F842" t="n">
        <x:v>0</x:v>
      </x:c>
      <x:c r="G842" s="10" t="n">
        <x:v>0</x:v>
      </x:c>
      <x:c r="H842" s="10" t="n">
        <x:v>0</x:v>
      </x:c>
      <x:c r="I842" t="n">
        <x:v>0</x:v>
      </x:c>
      <x:c r="J842" s="6" t="n">
        <x:v>0</x:v>
      </x:c>
    </x:row>
    <x:row r="843">
      <x:c r="A843" t="str">
        <x:v>225-45-17</x:v>
      </x:c>
      <x:c r="B843" t="str">
        <x:v>Medida</x:v>
      </x:c>
      <x:c r="C843" t="n">
        <x:v>1</x:v>
      </x:c>
      <x:c r="D843" t="n">
        <x:v>1</x:v>
      </x:c>
      <x:c r="E843" t="n">
        <x:v>0</x:v>
      </x:c>
      <x:c r="F843" t="n">
        <x:v>0</x:v>
      </x:c>
      <x:c r="G843" s="10" t="n">
        <x:v>0</x:v>
      </x:c>
      <x:c r="H843" s="10" t="n">
        <x:v>0</x:v>
      </x:c>
      <x:c r="I843" t="n">
        <x:v>0</x:v>
      </x:c>
      <x:c r="J843" s="6" t="n">
        <x:v>0</x:v>
      </x:c>
    </x:row>
    <x:row r="844">
      <x:c r="A844" t="str">
        <x:v>245-35-zr19-michelin-pilot-sport-cup-2-n0-93-y-</x:v>
      </x:c>
      <x:c r="B844" t="str">
        <x:v>Otro</x:v>
      </x:c>
      <x:c r="C844" t="n">
        <x:v>1</x:v>
      </x:c>
      <x:c r="D844" t="n">
        <x:v>1</x:v>
      </x:c>
      <x:c r="E844" t="n">
        <x:v>0</x:v>
      </x:c>
      <x:c r="F844" t="n">
        <x:v>0</x:v>
      </x:c>
      <x:c r="G844" s="10" t="n">
        <x:v>0</x:v>
      </x:c>
      <x:c r="H844" s="10" t="n">
        <x:v>0</x:v>
      </x:c>
      <x:c r="I844" t="n">
        <x:v>0</x:v>
      </x:c>
      <x:c r="J844" s="6" t="n">
        <x:v>0</x:v>
      </x:c>
    </x:row>
    <x:row r="845">
      <x:c r="A845" t="str">
        <x:v>245-35-r18-bridgestone-potenza-s001-rft-88-y</x:v>
      </x:c>
      <x:c r="B845" t="str">
        <x:v>Producto / URL</x:v>
      </x:c>
      <x:c r="C845" t="n">
        <x:v>1</x:v>
      </x:c>
      <x:c r="D845" t="n">
        <x:v>1</x:v>
      </x:c>
      <x:c r="E845" t="n">
        <x:v>0</x:v>
      </x:c>
      <x:c r="F845" t="n">
        <x:v>0</x:v>
      </x:c>
      <x:c r="G845" s="10" t="n">
        <x:v>0</x:v>
      </x:c>
      <x:c r="H845" s="10" t="n">
        <x:v>0</x:v>
      </x:c>
      <x:c r="I845" t="n">
        <x:v>0</x:v>
      </x:c>
      <x:c r="J845" s="6" t="n">
        <x:v>0</x:v>
      </x:c>
    </x:row>
    <x:row r="846">
      <x:c r="A846" t="str">
        <x:v>195 55r16</x:v>
      </x:c>
      <x:c r="B846" t="str">
        <x:v>Otro</x:v>
      </x:c>
      <x:c r="C846" t="n">
        <x:v>1</x:v>
      </x:c>
      <x:c r="D846" t="n">
        <x:v>1</x:v>
      </x:c>
      <x:c r="E846" t="n">
        <x:v>0</x:v>
      </x:c>
      <x:c r="F846" t="n">
        <x:v>0</x:v>
      </x:c>
      <x:c r="G846" s="10" t="n">
        <x:v>0</x:v>
      </x:c>
      <x:c r="H846" s="10" t="n">
        <x:v>0</x:v>
      </x:c>
      <x:c r="I846" t="n">
        <x:v>0</x:v>
      </x:c>
      <x:c r="J846" s="6" t="n">
        <x:v>0</x:v>
      </x:c>
    </x:row>
    <x:row r="847">
      <x:c r="A847" t="str">
        <x:v>primacy 5 215 55 r18</x:v>
      </x:c>
      <x:c r="B847" t="str">
        <x:v>Medida</x:v>
      </x:c>
      <x:c r="C847" t="n">
        <x:v>1</x:v>
      </x:c>
      <x:c r="D847" t="n">
        <x:v>1</x:v>
      </x:c>
      <x:c r="E847" t="n">
        <x:v>0</x:v>
      </x:c>
      <x:c r="F847" t="n">
        <x:v>0</x:v>
      </x:c>
      <x:c r="G847" s="10" t="n">
        <x:v>0</x:v>
      </x:c>
      <x:c r="H847" s="10" t="n">
        <x:v>0</x:v>
      </x:c>
      <x:c r="I847" t="n">
        <x:v>0</x:v>
      </x:c>
      <x:c r="J847" s="6" t="n">
        <x:v>0</x:v>
      </x:c>
    </x:row>
    <x:row r="848">
      <x:c r="A848" t="str">
        <x:v>cubiertas 195</x:v>
      </x:c>
      <x:c r="B848" t="str">
        <x:v>Otro</x:v>
      </x:c>
      <x:c r="C848" t="n">
        <x:v>1</x:v>
      </x:c>
      <x:c r="D848" t="n">
        <x:v>1</x:v>
      </x:c>
      <x:c r="E848" t="n">
        <x:v>0</x:v>
      </x:c>
      <x:c r="F848" t="n">
        <x:v>0</x:v>
      </x:c>
      <x:c r="G848" s="10" t="n">
        <x:v>0</x:v>
      </x:c>
      <x:c r="H848" s="10" t="n">
        <x:v>0</x:v>
      </x:c>
      <x:c r="I848" t="n">
        <x:v>0</x:v>
      </x:c>
      <x:c r="J848" s="6" t="n">
        <x:v>0</x:v>
      </x:c>
    </x:row>
    <x:row r="849">
      <x:c r="A849" t="str">
        <x:v>dunlop direzza dz102 195</x:v>
      </x:c>
      <x:c r="B849" t="str">
        <x:v>Otro</x:v>
      </x:c>
      <x:c r="C849" t="n">
        <x:v>1</x:v>
      </x:c>
      <x:c r="D849" t="n">
        <x:v>1</x:v>
      </x:c>
      <x:c r="E849" t="n">
        <x:v>0</x:v>
      </x:c>
      <x:c r="F849" t="n">
        <x:v>0</x:v>
      </x:c>
      <x:c r="G849" s="10" t="n">
        <x:v>0</x:v>
      </x:c>
      <x:c r="H849" s="10" t="n">
        <x:v>0</x:v>
      </x:c>
      <x:c r="I849" t="n">
        <x:v>0</x:v>
      </x:c>
      <x:c r="J849" s="6" t="n">
        <x:v>0</x:v>
      </x:c>
    </x:row>
    <x:row r="850">
      <x:c r="A850" t="str">
        <x:v>235 40 r18</x:v>
      </x:c>
      <x:c r="B850" t="str">
        <x:v>Medida</x:v>
      </x:c>
      <x:c r="C850" t="n">
        <x:v>1</x:v>
      </x:c>
      <x:c r="D850" t="n">
        <x:v>1</x:v>
      </x:c>
      <x:c r="E850" t="n">
        <x:v>0</x:v>
      </x:c>
      <x:c r="F850" t="n">
        <x:v>0</x:v>
      </x:c>
      <x:c r="G850" s="10" t="n">
        <x:v>0</x:v>
      </x:c>
      <x:c r="H850" s="10" t="n">
        <x:v>0</x:v>
      </x:c>
      <x:c r="I850" t="n">
        <x:v>0</x:v>
      </x:c>
      <x:c r="J850" s="6" t="n">
        <x:v>0</x:v>
      </x:c>
    </x:row>
    <x:row r="851">
      <x:c r="A851" t="str">
        <x:v>nieve</x:v>
      </x:c>
      <x:c r="B851" t="str">
        <x:v>Otro</x:v>
      </x:c>
      <x:c r="C851" t="n">
        <x:v>1</x:v>
      </x:c>
      <x:c r="D851" t="n">
        <x:v>1</x:v>
      </x:c>
      <x:c r="E851" t="n">
        <x:v>0</x:v>
      </x:c>
      <x:c r="F851" t="n">
        <x:v>0</x:v>
      </x:c>
      <x:c r="G851" s="10" t="n">
        <x:v>0</x:v>
      </x:c>
      <x:c r="H851" s="10" t="n">
        <x:v>0</x:v>
      </x:c>
      <x:c r="I851" t="n">
        <x:v>0</x:v>
      </x:c>
      <x:c r="J851" s="6" t="n">
        <x:v>0</x:v>
      </x:c>
    </x:row>
    <x:row r="852">
      <x:c r="A852" t="str">
        <x:v>pilot 5</x:v>
      </x:c>
      <x:c r="B852" t="str">
        <x:v>Otro</x:v>
      </x:c>
      <x:c r="C852" t="n">
        <x:v>1</x:v>
      </x:c>
      <x:c r="D852" t="n">
        <x:v>1</x:v>
      </x:c>
      <x:c r="E852" t="n">
        <x:v>0</x:v>
      </x:c>
      <x:c r="F852" t="n">
        <x:v>0</x:v>
      </x:c>
      <x:c r="G852" s="10" t="n">
        <x:v>0</x:v>
      </x:c>
      <x:c r="H852" s="10" t="n">
        <x:v>0</x:v>
      </x:c>
      <x:c r="I852" t="n">
        <x:v>0</x:v>
      </x:c>
      <x:c r="J852" s="6" t="n">
        <x:v>0</x:v>
      </x:c>
    </x:row>
    <x:row r="853">
      <x:c r="A853" t="str">
        <x:v>225-50-r16-michelin-primacy-4-92w</x:v>
      </x:c>
      <x:c r="B853" t="str">
        <x:v>Producto / URL</x:v>
      </x:c>
      <x:c r="C853" t="n">
        <x:v>1</x:v>
      </x:c>
      <x:c r="D853" t="n">
        <x:v>1</x:v>
      </x:c>
      <x:c r="E853" t="n">
        <x:v>0</x:v>
      </x:c>
      <x:c r="F853" t="n">
        <x:v>0</x:v>
      </x:c>
      <x:c r="G853" s="10" t="n">
        <x:v>0</x:v>
      </x:c>
      <x:c r="H853" s="10" t="n">
        <x:v>0</x:v>
      </x:c>
      <x:c r="I853" t="n">
        <x:v>0</x:v>
      </x:c>
      <x:c r="J853" s="6" t="n">
        <x:v>0</x:v>
      </x:c>
    </x:row>
    <x:row r="854">
      <x:c r="A854" t="str">
        <x:v>195-55-r16-sailun-atrezzo-elite-91-v</x:v>
      </x:c>
      <x:c r="B854" t="str">
        <x:v>Producto / URL</x:v>
      </x:c>
      <x:c r="C854" t="n">
        <x:v>1</x:v>
      </x:c>
      <x:c r="D854" t="n">
        <x:v>1</x:v>
      </x:c>
      <x:c r="E854" t="n">
        <x:v>0</x:v>
      </x:c>
      <x:c r="F854" t="n">
        <x:v>0</x:v>
      </x:c>
      <x:c r="G854" s="10" t="n">
        <x:v>0</x:v>
      </x:c>
      <x:c r="H854" s="10" t="n">
        <x:v>0</x:v>
      </x:c>
      <x:c r="I854" t="n">
        <x:v>0</x:v>
      </x:c>
      <x:c r="J854" s="6" t="n">
        <x:v>0</x:v>
      </x:c>
    </x:row>
    <x:row r="855">
      <x:c r="A855" t="str">
        <x:v>195 70 r13</x:v>
      </x:c>
      <x:c r="B855" t="str">
        <x:v>Medida</x:v>
      </x:c>
      <x:c r="C855" t="n">
        <x:v>1</x:v>
      </x:c>
      <x:c r="D855" t="n">
        <x:v>1</x:v>
      </x:c>
      <x:c r="E855" t="n">
        <x:v>0</x:v>
      </x:c>
      <x:c r="F855" t="n">
        <x:v>0</x:v>
      </x:c>
      <x:c r="G855" s="10" t="n">
        <x:v>0</x:v>
      </x:c>
      <x:c r="H855" s="10" t="n">
        <x:v>0</x:v>
      </x:c>
      <x:c r="I855" t="n">
        <x:v>0</x:v>
      </x:c>
      <x:c r="J855" s="6" t="n">
        <x:v>0</x:v>
      </x:c>
    </x:row>
    <x:row r="856">
      <x:c r="A856" t="str">
        <x:v>bfgoodrich all-terrain t</x:v>
      </x:c>
      <x:c r="B856" t="str">
        <x:v>Otro</x:v>
      </x:c>
      <x:c r="C856" t="n">
        <x:v>1</x:v>
      </x:c>
      <x:c r="D856" t="n">
        <x:v>1</x:v>
      </x:c>
      <x:c r="E856" t="n">
        <x:v>0</x:v>
      </x:c>
      <x:c r="F856" t="n">
        <x:v>0</x:v>
      </x:c>
      <x:c r="G856" s="10" t="n">
        <x:v>0</x:v>
      </x:c>
      <x:c r="H856" s="10" t="n">
        <x:v>0</x:v>
      </x:c>
      <x:c r="I856" t="n">
        <x:v>0</x:v>
      </x:c>
      <x:c r="J856" s="6" t="n">
        <x:v>0</x:v>
      </x:c>
    </x:row>
    <x:row r="857">
      <x:c r="A857" t="str">
        <x:v>205 55 16 rf</x:v>
      </x:c>
      <x:c r="B857" t="str">
        <x:v>Medida</x:v>
      </x:c>
      <x:c r="C857" t="n">
        <x:v>1</x:v>
      </x:c>
      <x:c r="D857" t="n">
        <x:v>1</x:v>
      </x:c>
      <x:c r="E857" t="n">
        <x:v>0</x:v>
      </x:c>
      <x:c r="F857" t="n">
        <x:v>0</x:v>
      </x:c>
      <x:c r="G857" s="10" t="n">
        <x:v>0</x:v>
      </x:c>
      <x:c r="H857" s="10" t="n">
        <x:v>0</x:v>
      </x:c>
      <x:c r="I857" t="n">
        <x:v>0</x:v>
      </x:c>
      <x:c r="J857" s="6" t="n">
        <x:v>0</x:v>
      </x:c>
    </x:row>
    <x:row r="858">
      <x:c r="A858" t="str">
        <x:v>70 r13</x:v>
      </x:c>
      <x:c r="B858" t="str">
        <x:v>Otro</x:v>
      </x:c>
      <x:c r="C858" t="n">
        <x:v>1</x:v>
      </x:c>
      <x:c r="D858" t="n">
        <x:v>1</x:v>
      </x:c>
      <x:c r="E858" t="n">
        <x:v>0</x:v>
      </x:c>
      <x:c r="F858" t="n">
        <x:v>0</x:v>
      </x:c>
      <x:c r="G858" s="10" t="n">
        <x:v>0</x:v>
      </x:c>
      <x:c r="H858" s="10" t="n">
        <x:v>0</x:v>
      </x:c>
      <x:c r="I858" t="n">
        <x:v>0</x:v>
      </x:c>
      <x:c r="J858" s="6" t="n">
        <x:v>0</x:v>
      </x:c>
    </x:row>
    <x:row r="859">
      <x:c r="A859" t="str">
        <x:v>ford territory</x:v>
      </x:c>
      <x:c r="B859" t="str">
        <x:v>Otro</x:v>
      </x:c>
      <x:c r="C859" t="n">
        <x:v>1</x:v>
      </x:c>
      <x:c r="D859" t="n">
        <x:v>1</x:v>
      </x:c>
      <x:c r="E859" t="n">
        <x:v>0</x:v>
      </x:c>
      <x:c r="F859" t="n">
        <x:v>0</x:v>
      </x:c>
      <x:c r="G859" s="10" t="n">
        <x:v>0</x:v>
      </x:c>
      <x:c r="H859" s="10" t="n">
        <x:v>0</x:v>
      </x:c>
      <x:c r="I859" t="n">
        <x:v>0</x:v>
      </x:c>
      <x:c r="J859" s="6" t="n">
        <x:v>0</x:v>
      </x:c>
    </x:row>
    <x:row r="860">
      <x:c r="A860" t="str">
        <x:v>255 75 r18</x:v>
      </x:c>
      <x:c r="B860" t="str">
        <x:v>Medida</x:v>
      </x:c>
      <x:c r="C860" t="n">
        <x:v>1</x:v>
      </x:c>
      <x:c r="D860" t="n">
        <x:v>1</x:v>
      </x:c>
      <x:c r="E860" t="n">
        <x:v>0</x:v>
      </x:c>
      <x:c r="F860" t="n">
        <x:v>0</x:v>
      </x:c>
      <x:c r="G860" s="10" t="n">
        <x:v>0</x:v>
      </x:c>
      <x:c r="H860" s="10" t="n">
        <x:v>0</x:v>
      </x:c>
      <x:c r="I860" t="n">
        <x:v>0</x:v>
      </x:c>
      <x:c r="J860" s="6" t="n">
        <x:v>0</x:v>
      </x:c>
    </x:row>
    <x:row r="861">
      <x:c r="A861" t="str">
        <x:v>244</x:v>
      </x:c>
      <x:c r="B861" t="str">
        <x:v>Otro</x:v>
      </x:c>
      <x:c r="C861" t="n">
        <x:v>1</x:v>
      </x:c>
      <x:c r="D861" t="n">
        <x:v>1</x:v>
      </x:c>
      <x:c r="E861" t="n">
        <x:v>0</x:v>
      </x:c>
      <x:c r="F861" t="n">
        <x:v>0</x:v>
      </x:c>
      <x:c r="G861" s="10" t="n">
        <x:v>0</x:v>
      </x:c>
      <x:c r="H861" s="10" t="n">
        <x:v>0</x:v>
      </x:c>
      <x:c r="I861" t="n">
        <x:v>0</x:v>
      </x:c>
      <x:c r="J861" s="6" t="n">
        <x:v>0</x:v>
      </x:c>
    </x:row>
    <x:row r="862">
      <x:c r="A862" t="str">
        <x:v>nexxen</x:v>
      </x:c>
      <x:c r="B862" t="str">
        <x:v>Otro</x:v>
      </x:c>
      <x:c r="C862" t="n">
        <x:v>1</x:v>
      </x:c>
      <x:c r="D862" t="n">
        <x:v>1</x:v>
      </x:c>
      <x:c r="E862" t="n">
        <x:v>2</x:v>
      </x:c>
      <x:c r="F862" t="n">
        <x:v>1</x:v>
      </x:c>
      <x:c r="G862" s="10" t="n">
        <x:v>2</x:v>
      </x:c>
      <x:c r="H862" s="10" t="n">
        <x:v>0</x:v>
      </x:c>
      <x:c r="I862" t="n">
        <x:v>0</x:v>
      </x:c>
      <x:c r="J862" s="6" t="n">
        <x:v>0</x:v>
      </x:c>
    </x:row>
    <x:row r="863">
      <x:c r="A863" t="str">
        <x:v>225-50-18</x:v>
      </x:c>
      <x:c r="B863" t="str">
        <x:v>Medida</x:v>
      </x:c>
      <x:c r="C863" t="n">
        <x:v>1</x:v>
      </x:c>
      <x:c r="D863" t="n">
        <x:v>1</x:v>
      </x:c>
      <x:c r="E863" t="n">
        <x:v>0</x:v>
      </x:c>
      <x:c r="F863" t="n">
        <x:v>0</x:v>
      </x:c>
      <x:c r="G863" s="10" t="n">
        <x:v>0</x:v>
      </x:c>
      <x:c r="H863" s="10" t="n">
        <x:v>0</x:v>
      </x:c>
      <x:c r="I863" t="n">
        <x:v>0</x:v>
      </x:c>
      <x:c r="J863" s="6" t="n">
        <x:v>0</x:v>
      </x:c>
    </x:row>
    <x:row r="864">
      <x:c r="A864" t="str">
        <x:v>latitude cross</x:v>
      </x:c>
      <x:c r="B864" t="str">
        <x:v>Otro</x:v>
      </x:c>
      <x:c r="C864" t="n">
        <x:v>1</x:v>
      </x:c>
      <x:c r="D864" t="n">
        <x:v>1</x:v>
      </x:c>
      <x:c r="E864" t="n">
        <x:v>0</x:v>
      </x:c>
      <x:c r="F864" t="n">
        <x:v>0</x:v>
      </x:c>
      <x:c r="G864" s="10" t="n">
        <x:v>0</x:v>
      </x:c>
      <x:c r="H864" s="10" t="n">
        <x:v>0</x:v>
      </x:c>
      <x:c r="I864" t="n">
        <x:v>0</x:v>
      </x:c>
      <x:c r="J864" s="6" t="n">
        <x:v>0</x:v>
      </x:c>
    </x:row>
    <x:row r="865">
      <x:c r="A865" t="str">
        <x:v>235-60-r16-michelin-primacy-suv-plus-100h-1</x:v>
      </x:c>
      <x:c r="B865" t="str">
        <x:v>Producto / URL</x:v>
      </x:c>
      <x:c r="C865" t="n">
        <x:v>1</x:v>
      </x:c>
      <x:c r="D865" t="n">
        <x:v>1</x:v>
      </x:c>
      <x:c r="E865" t="n">
        <x:v>0</x:v>
      </x:c>
      <x:c r="F865" t="n">
        <x:v>0</x:v>
      </x:c>
      <x:c r="G865" s="10" t="n">
        <x:v>0</x:v>
      </x:c>
      <x:c r="H865" s="10" t="n">
        <x:v>0</x:v>
      </x:c>
      <x:c r="I865" t="n">
        <x:v>0</x:v>
      </x:c>
      <x:c r="J865" s="6" t="n">
        <x:v>0</x:v>
      </x:c>
    </x:row>
    <x:row r="866">
      <x:c r="A866" t="str">
        <x:v>g-force phenom</x:v>
      </x:c>
      <x:c r="B866" t="str">
        <x:v>Otro</x:v>
      </x:c>
      <x:c r="C866" t="n">
        <x:v>1</x:v>
      </x:c>
      <x:c r="D866" t="n">
        <x:v>1</x:v>
      </x:c>
      <x:c r="E866" t="n">
        <x:v>0</x:v>
      </x:c>
      <x:c r="F866" t="n">
        <x:v>0</x:v>
      </x:c>
      <x:c r="G866" s="10" t="n">
        <x:v>0</x:v>
      </x:c>
      <x:c r="H866" s="10" t="n">
        <x:v>0</x:v>
      </x:c>
      <x:c r="I866" t="n">
        <x:v>0</x:v>
      </x:c>
      <x:c r="J866" s="6" t="n">
        <x:v>0</x:v>
      </x:c>
    </x:row>
    <x:row r="867">
      <x:c r="A867" t="str">
        <x:v>2856018</x:v>
      </x:c>
      <x:c r="B867" t="str">
        <x:v>Otro</x:v>
      </x:c>
      <x:c r="C867" t="n">
        <x:v>1</x:v>
      </x:c>
      <x:c r="D867" t="n">
        <x:v>1</x:v>
      </x:c>
      <x:c r="E867" t="n">
        <x:v>0</x:v>
      </x:c>
      <x:c r="F867" t="n">
        <x:v>0</x:v>
      </x:c>
      <x:c r="G867" s="10" t="n">
        <x:v>0</x:v>
      </x:c>
      <x:c r="H867" s="10" t="n">
        <x:v>0</x:v>
      </x:c>
      <x:c r="I867" t="n">
        <x:v>0</x:v>
      </x:c>
      <x:c r="J867" s="6" t="n">
        <x:v>0</x:v>
      </x:c>
    </x:row>
    <x:row r="868">
      <x:c r="A868" t="str">
        <x:v>160</x:v>
      </x:c>
      <x:c r="B868" t="str">
        <x:v>Otro</x:v>
      </x:c>
      <x:c r="C868" t="n">
        <x:v>1</x:v>
      </x:c>
      <x:c r="D868" t="n">
        <x:v>1</x:v>
      </x:c>
      <x:c r="E868" t="n">
        <x:v>0</x:v>
      </x:c>
      <x:c r="F868" t="n">
        <x:v>0</x:v>
      </x:c>
      <x:c r="G868" s="10" t="n">
        <x:v>0</x:v>
      </x:c>
      <x:c r="H868" s="10" t="n">
        <x:v>0</x:v>
      </x:c>
      <x:c r="I868" t="n">
        <x:v>0</x:v>
      </x:c>
      <x:c r="J868" s="6" t="n">
        <x:v>0</x:v>
      </x:c>
    </x:row>
    <x:row r="869">
      <x:c r="A869" t="str">
        <x:v>235 50 19</x:v>
      </x:c>
      <x:c r="B869" t="str">
        <x:v>Medida</x:v>
      </x:c>
      <x:c r="C869" t="n">
        <x:v>1</x:v>
      </x:c>
      <x:c r="D869" t="n">
        <x:v>1</x:v>
      </x:c>
      <x:c r="E869" t="n">
        <x:v>0</x:v>
      </x:c>
      <x:c r="F869" t="n">
        <x:v>0</x:v>
      </x:c>
      <x:c r="G869" s="10" t="n">
        <x:v>0</x:v>
      </x:c>
      <x:c r="H869" s="10" t="n">
        <x:v>0</x:v>
      </x:c>
      <x:c r="I869" t="n">
        <x:v>0</x:v>
      </x:c>
      <x:c r="J869" s="6" t="n">
        <x:v>0</x:v>
      </x:c>
    </x:row>
    <x:row r="870">
      <x:c r="A870" t="str">
        <x:v>205-65-r16c-mastersteel-light-truck-107-105t-1</x:v>
      </x:c>
      <x:c r="B870" t="str">
        <x:v>Medida</x:v>
      </x:c>
      <x:c r="C870" t="n">
        <x:v>1</x:v>
      </x:c>
      <x:c r="D870" t="n">
        <x:v>1</x:v>
      </x:c>
      <x:c r="E870" t="n">
        <x:v>0</x:v>
      </x:c>
      <x:c r="F870" t="n">
        <x:v>0</x:v>
      </x:c>
      <x:c r="G870" s="10" t="n">
        <x:v>0</x:v>
      </x:c>
      <x:c r="H870" s="10" t="n">
        <x:v>0</x:v>
      </x:c>
      <x:c r="I870" t="n">
        <x:v>0</x:v>
      </x:c>
      <x:c r="J870" s="6" t="n">
        <x:v>0</x:v>
      </x:c>
    </x:row>
    <x:row r="871">
      <x:c r="A871" t="str">
        <x:v>45 zr 17 primacy</x:v>
      </x:c>
      <x:c r="B871" t="str">
        <x:v>Otro</x:v>
      </x:c>
      <x:c r="C871" t="n">
        <x:v>1</x:v>
      </x:c>
      <x:c r="D871" t="n">
        <x:v>1</x:v>
      </x:c>
      <x:c r="E871" t="n">
        <x:v>0</x:v>
      </x:c>
      <x:c r="F871" t="n">
        <x:v>0</x:v>
      </x:c>
      <x:c r="G871" s="10" t="n">
        <x:v>0</x:v>
      </x:c>
      <x:c r="H871" s="10" t="n">
        <x:v>0</x:v>
      </x:c>
      <x:c r="I871" t="n">
        <x:v>0</x:v>
      </x:c>
      <x:c r="J871" s="6" t="n">
        <x:v>0</x:v>
      </x:c>
    </x:row>
    <x:row r="872">
      <x:c r="A872" t="str">
        <x:v>bf ko2</x:v>
      </x:c>
      <x:c r="B872" t="str">
        <x:v>Otro</x:v>
      </x:c>
      <x:c r="C872" t="n">
        <x:v>1</x:v>
      </x:c>
      <x:c r="D872" t="n">
        <x:v>1</x:v>
      </x:c>
      <x:c r="E872" t="n">
        <x:v>0</x:v>
      </x:c>
      <x:c r="F872" t="n">
        <x:v>0</x:v>
      </x:c>
      <x:c r="G872" s="10" t="n">
        <x:v>0</x:v>
      </x:c>
      <x:c r="H872" s="10" t="n">
        <x:v>0</x:v>
      </x:c>
      <x:c r="I872" t="n">
        <x:v>0</x:v>
      </x:c>
      <x:c r="J872" s="6" t="n">
        <x:v>0</x:v>
      </x:c>
    </x:row>
    <x:row r="873">
      <x:c r="A873" t="str">
        <x:v>bg at 265</x:v>
      </x:c>
      <x:c r="B873" t="str">
        <x:v>Otro</x:v>
      </x:c>
      <x:c r="C873" t="n">
        <x:v>1</x:v>
      </x:c>
      <x:c r="D873" t="n">
        <x:v>1</x:v>
      </x:c>
      <x:c r="E873" t="n">
        <x:v>0</x:v>
      </x:c>
      <x:c r="F873" t="n">
        <x:v>0</x:v>
      </x:c>
      <x:c r="G873" s="10" t="n">
        <x:v>0</x:v>
      </x:c>
      <x:c r="H873" s="10" t="n">
        <x:v>0</x:v>
      </x:c>
      <x:c r="I873" t="n">
        <x:v>0</x:v>
      </x:c>
      <x:c r="J873" s="6" t="n">
        <x:v>0</x:v>
      </x:c>
    </x:row>
    <x:row r="874">
      <x:c r="A874" t="str">
        <x:v>195 40 17</x:v>
      </x:c>
      <x:c r="B874" t="str">
        <x:v>Medida</x:v>
      </x:c>
      <x:c r="C874" t="n">
        <x:v>1</x:v>
      </x:c>
      <x:c r="D874" t="n">
        <x:v>1</x:v>
      </x:c>
      <x:c r="E874" t="n">
        <x:v>0</x:v>
      </x:c>
      <x:c r="F874" t="n">
        <x:v>0</x:v>
      </x:c>
      <x:c r="G874" s="10" t="n">
        <x:v>0</x:v>
      </x:c>
      <x:c r="H874" s="10" t="n">
        <x:v>0</x:v>
      </x:c>
      <x:c r="I874" t="n">
        <x:v>0</x:v>
      </x:c>
      <x:c r="J874" s="6" t="n">
        <x:v>0</x:v>
      </x:c>
    </x:row>
    <x:row r="875">
      <x:c r="A875" t="str">
        <x:v>dueler</x:v>
      </x:c>
      <x:c r="B875" t="str">
        <x:v>Otro</x:v>
      </x:c>
      <x:c r="C875" t="n">
        <x:v>1</x:v>
      </x:c>
      <x:c r="D875" t="n">
        <x:v>1</x:v>
      </x:c>
      <x:c r="E875" t="n">
        <x:v>0</x:v>
      </x:c>
      <x:c r="F875" t="n">
        <x:v>0</x:v>
      </x:c>
      <x:c r="G875" s="10" t="n">
        <x:v>0</x:v>
      </x:c>
      <x:c r="H875" s="10" t="n">
        <x:v>0</x:v>
      </x:c>
      <x:c r="I875" t="n">
        <x:v>0</x:v>
      </x:c>
      <x:c r="J875" s="6" t="n">
        <x:v>0</x:v>
      </x:c>
    </x:row>
    <x:row r="876">
      <x:c r="A876" t="str">
        <x:v>goodrich 265 70 16</x:v>
      </x:c>
      <x:c r="B876" t="str">
        <x:v>Medida</x:v>
      </x:c>
      <x:c r="C876" t="n">
        <x:v>1</x:v>
      </x:c>
      <x:c r="D876" t="n">
        <x:v>1</x:v>
      </x:c>
      <x:c r="E876" t="n">
        <x:v>1</x:v>
      </x:c>
      <x:c r="F876" t="n">
        <x:v>1</x:v>
      </x:c>
      <x:c r="G876" s="10" t="n">
        <x:v>1</x:v>
      </x:c>
      <x:c r="H876" s="10" t="n">
        <x:v>0</x:v>
      </x:c>
      <x:c r="I876" t="n">
        <x:v>0</x:v>
      </x:c>
      <x:c r="J876" s="6" t="n">
        <x:v>0</x:v>
      </x:c>
    </x:row>
    <x:row r="877">
      <x:c r="A877" t="str">
        <x:v>2-al-50--off---12-cuotas-sin-interes</x:v>
      </x:c>
      <x:c r="B877" t="str">
        <x:v>Otro</x:v>
      </x:c>
      <x:c r="C877" t="n">
        <x:v>1</x:v>
      </x:c>
      <x:c r="D877" t="n">
        <x:v>1</x:v>
      </x:c>
      <x:c r="E877" t="n">
        <x:v>0</x:v>
      </x:c>
      <x:c r="F877" t="n">
        <x:v>0</x:v>
      </x:c>
      <x:c r="G877" s="10" t="n">
        <x:v>0</x:v>
      </x:c>
      <x:c r="H877" s="10" t="n">
        <x:v>0</x:v>
      </x:c>
      <x:c r="I877" t="n">
        <x:v>0</x:v>
      </x:c>
      <x:c r="J877" s="6" t="n">
        <x:v>0</x:v>
      </x:c>
    </x:row>
    <x:row r="878">
      <x:c r="A878" t="str">
        <x:v>michelin-y-bf-goodrich-12-cuotas-sin-interes</x:v>
      </x:c>
      <x:c r="B878" t="str">
        <x:v>Otro</x:v>
      </x:c>
      <x:c r="C878" t="n">
        <x:v>1</x:v>
      </x:c>
      <x:c r="D878" t="n">
        <x:v>1</x:v>
      </x:c>
      <x:c r="E878" t="n">
        <x:v>0</x:v>
      </x:c>
      <x:c r="F878" t="n">
        <x:v>0</x:v>
      </x:c>
      <x:c r="G878" s="10" t="n">
        <x:v>0</x:v>
      </x:c>
      <x:c r="H878" s="10" t="n">
        <x:v>0</x:v>
      </x:c>
      <x:c r="I878" t="n">
        <x:v>0</x:v>
      </x:c>
      <x:c r="J878" s="6" t="n">
        <x:v>0</x:v>
      </x:c>
    </x:row>
    <x:row r="879">
      <x:c r="A879" t="str">
        <x:v>140 70 18</x:v>
      </x:c>
      <x:c r="B879" t="str">
        <x:v>Medida</x:v>
      </x:c>
      <x:c r="C879" t="n">
        <x:v>1</x:v>
      </x:c>
      <x:c r="D879" t="n">
        <x:v>1</x:v>
      </x:c>
      <x:c r="E879" t="n">
        <x:v>0</x:v>
      </x:c>
      <x:c r="F879" t="n">
        <x:v>0</x:v>
      </x:c>
      <x:c r="G879" s="10" t="n">
        <x:v>0</x:v>
      </x:c>
      <x:c r="H879" s="10" t="n">
        <x:v>0</x:v>
      </x:c>
      <x:c r="I879" t="n">
        <x:v>0</x:v>
      </x:c>
      <x:c r="J879" s="6" t="n">
        <x:v>0</x:v>
      </x:c>
    </x:row>
    <x:row r="880">
      <x:c r="A880" t="str">
        <x:v>275 70 r16</x:v>
      </x:c>
      <x:c r="B880" t="str">
        <x:v>Medida</x:v>
      </x:c>
      <x:c r="C880" t="n">
        <x:v>1</x:v>
      </x:c>
      <x:c r="D880" t="n">
        <x:v>1</x:v>
      </x:c>
      <x:c r="E880" t="n">
        <x:v>0</x:v>
      </x:c>
      <x:c r="F880" t="n">
        <x:v>0</x:v>
      </x:c>
      <x:c r="G880" s="10" t="n">
        <x:v>0</x:v>
      </x:c>
      <x:c r="H880" s="10" t="n">
        <x:v>0</x:v>
      </x:c>
      <x:c r="I880" t="n">
        <x:v>0</x:v>
      </x:c>
      <x:c r="J880" s="6" t="n">
        <x:v>0</x:v>
      </x:c>
    </x:row>
    <x:row r="881">
      <x:c r="A881" t="str">
        <x:v>165-65-r14-mastersteel-clubsport-79t-1</x:v>
      </x:c>
      <x:c r="B881" t="str">
        <x:v>Producto / URL</x:v>
      </x:c>
      <x:c r="C881" t="n">
        <x:v>1</x:v>
      </x:c>
      <x:c r="D881" t="n">
        <x:v>1</x:v>
      </x:c>
      <x:c r="E881" t="n">
        <x:v>0</x:v>
      </x:c>
      <x:c r="F881" t="n">
        <x:v>0</x:v>
      </x:c>
      <x:c r="G881" s="10" t="n">
        <x:v>0</x:v>
      </x:c>
      <x:c r="H881" s="10" t="n">
        <x:v>0</x:v>
      </x:c>
      <x:c r="I881" t="n">
        <x:v>0</x:v>
      </x:c>
      <x:c r="J881" s="6" t="n">
        <x:v>0</x:v>
      </x:c>
    </x:row>
    <x:row r="882">
      <x:c r="A882" t="str">
        <x:v>139513</x:v>
      </x:c>
      <x:c r="B882" t="str">
        <x:v>Otro</x:v>
      </x:c>
      <x:c r="C882" t="n">
        <x:v>1</x:v>
      </x:c>
      <x:c r="D882" t="n">
        <x:v>1</x:v>
      </x:c>
      <x:c r="E882" t="n">
        <x:v>0</x:v>
      </x:c>
      <x:c r="F882" t="n">
        <x:v>0</x:v>
      </x:c>
      <x:c r="G882" s="10" t="n">
        <x:v>0</x:v>
      </x:c>
      <x:c r="H882" s="10" t="n">
        <x:v>0</x:v>
      </x:c>
      <x:c r="I882" t="n">
        <x:v>0</x:v>
      </x:c>
      <x:c r="J882" s="6" t="n">
        <x:v>0</x:v>
      </x:c>
    </x:row>
    <x:row r="883">
      <x:c r="A883" t="str">
        <x:v>cubierta michelin anakee adventure 100 90 19</x:v>
      </x:c>
      <x:c r="B883" t="str">
        <x:v>Medida</x:v>
      </x:c>
      <x:c r="C883" t="n">
        <x:v>1</x:v>
      </x:c>
      <x:c r="D883" t="n">
        <x:v>1</x:v>
      </x:c>
      <x:c r="E883" t="n">
        <x:v>0</x:v>
      </x:c>
      <x:c r="F883" t="n">
        <x:v>0</x:v>
      </x:c>
      <x:c r="G883" s="10" t="n">
        <x:v>0</x:v>
      </x:c>
      <x:c r="H883" s="10" t="n">
        <x:v>0</x:v>
      </x:c>
      <x:c r="I883" t="n">
        <x:v>0</x:v>
      </x:c>
      <x:c r="J883" s="6" t="n">
        <x:v>0</x:v>
      </x:c>
    </x:row>
    <x:row r="884">
      <x:c r="A884" t="str">
        <x:v>185-65-r15-linglong-greenmax-hp300-88h</x:v>
      </x:c>
      <x:c r="B884" t="str">
        <x:v>Producto / URL</x:v>
      </x:c>
      <x:c r="C884" t="n">
        <x:v>1</x:v>
      </x:c>
      <x:c r="D884" t="n">
        <x:v>1</x:v>
      </x:c>
      <x:c r="E884" t="n">
        <x:v>0</x:v>
      </x:c>
      <x:c r="F884" t="n">
        <x:v>0</x:v>
      </x:c>
      <x:c r="G884" s="10" t="n">
        <x:v>0</x:v>
      </x:c>
      <x:c r="H884" s="10" t="n">
        <x:v>0</x:v>
      </x:c>
      <x:c r="I884" t="n">
        <x:v>0</x:v>
      </x:c>
      <x:c r="J884" s="6" t="n">
        <x:v>0</x:v>
      </x:c>
    </x:row>
    <x:row r="885">
      <x:c r="A885" t="str">
        <x:v>295 50 15</x:v>
      </x:c>
      <x:c r="B885" t="str">
        <x:v>Medida</x:v>
      </x:c>
      <x:c r="C885" t="n">
        <x:v>1</x:v>
      </x:c>
      <x:c r="D885" t="n">
        <x:v>1</x:v>
      </x:c>
      <x:c r="E885" t="n">
        <x:v>0</x:v>
      </x:c>
      <x:c r="F885" t="n">
        <x:v>0</x:v>
      </x:c>
      <x:c r="G885" s="10" t="n">
        <x:v>0</x:v>
      </x:c>
      <x:c r="H885" s="10" t="n">
        <x:v>0</x:v>
      </x:c>
      <x:c r="I885" t="n">
        <x:v>0</x:v>
      </x:c>
      <x:c r="J885" s="6" t="n">
        <x:v>0</x:v>
      </x:c>
    </x:row>
    <x:row r="886">
      <x:c r="A886" t="str">
        <x:v>michelin 225 45 17 primacy 4</x:v>
      </x:c>
      <x:c r="B886" t="str">
        <x:v>Medida</x:v>
      </x:c>
      <x:c r="C886" t="n">
        <x:v>1</x:v>
      </x:c>
      <x:c r="D886" t="n">
        <x:v>1</x:v>
      </x:c>
      <x:c r="E886" t="n">
        <x:v>0</x:v>
      </x:c>
      <x:c r="F886" t="n">
        <x:v>0</x:v>
      </x:c>
      <x:c r="G886" s="10" t="n">
        <x:v>0</x:v>
      </x:c>
      <x:c r="H886" s="10" t="n">
        <x:v>0</x:v>
      </x:c>
      <x:c r="I886" t="n">
        <x:v>0</x:v>
      </x:c>
      <x:c r="J886" s="6" t="n">
        <x:v>0</x:v>
      </x:c>
    </x:row>
    <x:row r="887">
      <x:c r="A887" t="str">
        <x:v>205x55x17</x:v>
      </x:c>
      <x:c r="B887" t="str">
        <x:v>Otro</x:v>
      </x:c>
      <x:c r="C887" t="n">
        <x:v>1</x:v>
      </x:c>
      <x:c r="D887" t="n">
        <x:v>1</x:v>
      </x:c>
      <x:c r="E887" t="n">
        <x:v>0</x:v>
      </x:c>
      <x:c r="F887" t="n">
        <x:v>0</x:v>
      </x:c>
      <x:c r="G887" s="10" t="n">
        <x:v>0</x:v>
      </x:c>
      <x:c r="H887" s="10" t="n">
        <x:v>0</x:v>
      </x:c>
      <x:c r="I887" t="n">
        <x:v>0</x:v>
      </x:c>
      <x:c r="J887" s="6" t="n">
        <x:v>0</x:v>
      </x:c>
    </x:row>
    <x:row r="888">
      <x:c r="A888" t="str">
        <x:v>145-70-r13-mastersteel-club-sport-71t-1</x:v>
      </x:c>
      <x:c r="B888" t="str">
        <x:v>Producto / URL</x:v>
      </x:c>
      <x:c r="C888" t="n">
        <x:v>1</x:v>
      </x:c>
      <x:c r="D888" t="n">
        <x:v>1</x:v>
      </x:c>
      <x:c r="E888" t="n">
        <x:v>0</x:v>
      </x:c>
      <x:c r="F888" t="n">
        <x:v>0</x:v>
      </x:c>
      <x:c r="G888" s="10" t="n">
        <x:v>0</x:v>
      </x:c>
      <x:c r="H888" s="10" t="n">
        <x:v>0</x:v>
      </x:c>
      <x:c r="I888" t="n">
        <x:v>0</x:v>
      </x:c>
      <x:c r="J888" s="6" t="n">
        <x:v>0</x:v>
      </x:c>
    </x:row>
    <x:row r="889">
      <x:c r="A889" t="str">
        <x:v>MR-0041</x:v>
      </x:c>
      <x:c r="B889" t="str">
        <x:v>Otro</x:v>
      </x:c>
      <x:c r="C889" t="n">
        <x:v>1</x:v>
      </x:c>
      <x:c r="D889" t="n">
        <x:v>1</x:v>
      </x:c>
      <x:c r="E889" t="n">
        <x:v>0</x:v>
      </x:c>
      <x:c r="F889" t="n">
        <x:v>0</x:v>
      </x:c>
      <x:c r="G889" s="10" t="n">
        <x:v>0</x:v>
      </x:c>
      <x:c r="H889" s="10" t="n">
        <x:v>0</x:v>
      </x:c>
      <x:c r="I889" t="n">
        <x:v>0</x:v>
      </x:c>
      <x:c r="J889" s="6" t="n">
        <x:v>0</x:v>
      </x:c>
    </x:row>
    <x:row r="890">
      <x:c r="A890" t="str">
        <x:v>265-60-r18-michelin-ltx-force-110t</x:v>
      </x:c>
      <x:c r="B890" t="str">
        <x:v>Producto / URL</x:v>
      </x:c>
      <x:c r="C890" t="n">
        <x:v>1</x:v>
      </x:c>
      <x:c r="D890" t="n">
        <x:v>1</x:v>
      </x:c>
      <x:c r="E890" t="n">
        <x:v>0</x:v>
      </x:c>
      <x:c r="F890" t="n">
        <x:v>0</x:v>
      </x:c>
      <x:c r="G890" s="10" t="n">
        <x:v>0</x:v>
      </x:c>
      <x:c r="H890" s="10" t="n">
        <x:v>0</x:v>
      </x:c>
      <x:c r="I890" t="n">
        <x:v>0</x:v>
      </x:c>
      <x:c r="J890" s="6" t="n">
        <x:v>0</x:v>
      </x:c>
    </x:row>
    <x:row r="891">
      <x:c r="A891" t="str">
        <x:v>255 r19</x:v>
      </x:c>
      <x:c r="B891" t="str">
        <x:v>Otro</x:v>
      </x:c>
      <x:c r="C891" t="n">
        <x:v>1</x:v>
      </x:c>
      <x:c r="D891" t="n">
        <x:v>1</x:v>
      </x:c>
      <x:c r="E891" t="n">
        <x:v>0</x:v>
      </x:c>
      <x:c r="F891" t="n">
        <x:v>0</x:v>
      </x:c>
      <x:c r="G891" s="10" t="n">
        <x:v>0</x:v>
      </x:c>
      <x:c r="H891" s="10" t="n">
        <x:v>0</x:v>
      </x:c>
      <x:c r="I891" t="n">
        <x:v>0</x:v>
      </x:c>
      <x:c r="J891" s="6" t="n">
        <x:v>0</x:v>
      </x:c>
    </x:row>
    <x:row r="892">
      <x:c r="A892" t="str">
        <x:v>primacy 185</x:v>
      </x:c>
      <x:c r="B892" t="str">
        <x:v>Otro</x:v>
      </x:c>
      <x:c r="C892" t="n">
        <x:v>1</x:v>
      </x:c>
      <x:c r="D892" t="n">
        <x:v>1</x:v>
      </x:c>
      <x:c r="E892" t="n">
        <x:v>0</x:v>
      </x:c>
      <x:c r="F892" t="n">
        <x:v>0</x:v>
      </x:c>
      <x:c r="G892" s="10" t="n">
        <x:v>0</x:v>
      </x:c>
      <x:c r="H892" s="10" t="n">
        <x:v>0</x:v>
      </x:c>
      <x:c r="I892" t="n">
        <x:v>0</x:v>
      </x:c>
      <x:c r="J892" s="6" t="n">
        <x:v>0</x:v>
      </x:c>
    </x:row>
    <x:row r="893">
      <x:c r="A893" t="str">
        <x:v>3.5 x8</x:v>
      </x:c>
      <x:c r="B893" t="str">
        <x:v>Otro</x:v>
      </x:c>
      <x:c r="C893" t="n">
        <x:v>1</x:v>
      </x:c>
      <x:c r="D893" t="n">
        <x:v>1</x:v>
      </x:c>
      <x:c r="E893" t="n">
        <x:v>0</x:v>
      </x:c>
      <x:c r="F893" t="n">
        <x:v>0</x:v>
      </x:c>
      <x:c r="G893" s="10" t="n">
        <x:v>0</x:v>
      </x:c>
      <x:c r="H893" s="10" t="n">
        <x:v>0</x:v>
      </x:c>
      <x:c r="I893" t="n">
        <x:v>0</x:v>
      </x:c>
      <x:c r="J893" s="6" t="n">
        <x:v>0</x:v>
      </x:c>
    </x:row>
    <x:row r="894">
      <x:c r="A894" t="str">
        <x:v>31 x 10,5 x 15</x:v>
      </x:c>
      <x:c r="B894" t="str">
        <x:v>Otro</x:v>
      </x:c>
      <x:c r="C894" t="n">
        <x:v>1</x:v>
      </x:c>
      <x:c r="D894" t="n">
        <x:v>1</x:v>
      </x:c>
      <x:c r="E894" t="n">
        <x:v>0</x:v>
      </x:c>
      <x:c r="F894" t="n">
        <x:v>0</x:v>
      </x:c>
      <x:c r="G894" s="10" t="n">
        <x:v>0</x:v>
      </x:c>
      <x:c r="H894" s="10" t="n">
        <x:v>0</x:v>
      </x:c>
      <x:c r="I894" t="n">
        <x:v>0</x:v>
      </x:c>
      <x:c r="J894" s="6" t="n">
        <x:v>0</x:v>
      </x:c>
    </x:row>
    <x:row r="895">
      <x:c r="A895" t="str">
        <x:v>33x12-50-r17-bfgoodrich-mud-terrain-t-a-km3-120q</x:v>
      </x:c>
      <x:c r="B895" t="str">
        <x:v>Otro</x:v>
      </x:c>
      <x:c r="C895" t="n">
        <x:v>1</x:v>
      </x:c>
      <x:c r="D895" t="n">
        <x:v>1</x:v>
      </x:c>
      <x:c r="E895" t="n">
        <x:v>0</x:v>
      </x:c>
      <x:c r="F895" t="n">
        <x:v>0</x:v>
      </x:c>
      <x:c r="G895" s="10" t="n">
        <x:v>0</x:v>
      </x:c>
      <x:c r="H895" s="10" t="n">
        <x:v>0</x:v>
      </x:c>
      <x:c r="I895" t="n">
        <x:v>0</x:v>
      </x:c>
      <x:c r="J895" s="6" t="n">
        <x:v>0</x:v>
      </x:c>
    </x:row>
    <x:row r="896">
      <x:c r="A896" t="str">
        <x:v>bf ko2 265 65 17</x:v>
      </x:c>
      <x:c r="B896" t="str">
        <x:v>Medida</x:v>
      </x:c>
      <x:c r="C896" t="n">
        <x:v>1</x:v>
      </x:c>
      <x:c r="D896" t="n">
        <x:v>1</x:v>
      </x:c>
      <x:c r="E896" t="n">
        <x:v>1</x:v>
      </x:c>
      <x:c r="F896" t="n">
        <x:v>1</x:v>
      </x:c>
      <x:c r="G896" s="10" t="n">
        <x:v>1</x:v>
      </x:c>
      <x:c r="H896" s="10" t="n">
        <x:v>0</x:v>
      </x:c>
      <x:c r="I896" t="n">
        <x:v>0</x:v>
      </x:c>
      <x:c r="J896" s="6" t="n">
        <x:v>0</x:v>
      </x:c>
    </x:row>
    <x:row r="897">
      <x:c r="A897" t="str">
        <x:v>165 85 15</x:v>
      </x:c>
      <x:c r="B897" t="str">
        <x:v>Medida</x:v>
      </x:c>
      <x:c r="C897" t="n">
        <x:v>1</x:v>
      </x:c>
      <x:c r="D897" t="n">
        <x:v>1</x:v>
      </x:c>
      <x:c r="E897" t="n">
        <x:v>0</x:v>
      </x:c>
      <x:c r="F897" t="n">
        <x:v>0</x:v>
      </x:c>
      <x:c r="G897" s="10" t="n">
        <x:v>0</x:v>
      </x:c>
      <x:c r="H897" s="10" t="n">
        <x:v>0</x:v>
      </x:c>
      <x:c r="I897" t="n">
        <x:v>0</x:v>
      </x:c>
      <x:c r="J897" s="6" t="n">
        <x:v>0</x:v>
      </x:c>
    </x:row>
    <x:row r="898">
      <x:c r="A898" t="str">
        <x:v>265 70r17</x:v>
      </x:c>
      <x:c r="B898" t="str">
        <x:v>Otro</x:v>
      </x:c>
      <x:c r="C898" t="n">
        <x:v>1</x:v>
      </x:c>
      <x:c r="D898" t="n">
        <x:v>1</x:v>
      </x:c>
      <x:c r="E898" t="n">
        <x:v>0</x:v>
      </x:c>
      <x:c r="F898" t="n">
        <x:v>0</x:v>
      </x:c>
      <x:c r="G898" s="10" t="n">
        <x:v>0</x:v>
      </x:c>
      <x:c r="H898" s="10" t="n">
        <x:v>0</x:v>
      </x:c>
      <x:c r="I898" t="n">
        <x:v>0</x:v>
      </x:c>
      <x:c r="J898" s="6" t="n">
        <x:v>0</x:v>
      </x:c>
    </x:row>
    <x:row r="899">
      <x:c r="A899" t="str">
        <x:v>kit x2 185</x:v>
      </x:c>
      <x:c r="B899" t="str">
        <x:v>Otro</x:v>
      </x:c>
      <x:c r="C899" t="n">
        <x:v>1</x:v>
      </x:c>
      <x:c r="D899" t="n">
        <x:v>1</x:v>
      </x:c>
      <x:c r="E899" t="n">
        <x:v>0</x:v>
      </x:c>
      <x:c r="F899" t="n">
        <x:v>0</x:v>
      </x:c>
      <x:c r="G899" s="10" t="n">
        <x:v>0</x:v>
      </x:c>
      <x:c r="H899" s="10" t="n">
        <x:v>0</x:v>
      </x:c>
      <x:c r="I899" t="n">
        <x:v>0</x:v>
      </x:c>
      <x:c r="J899" s="6" t="n">
        <x:v>0</x:v>
      </x:c>
    </x:row>
    <x:row r="900">
      <x:c r="A900" t="str">
        <x:v>ran flat</x:v>
      </x:c>
      <x:c r="B900" t="str">
        <x:v>Otro</x:v>
      </x:c>
      <x:c r="C900" t="n">
        <x:v>1</x:v>
      </x:c>
      <x:c r="D900" t="n">
        <x:v>1</x:v>
      </x:c>
      <x:c r="E900" t="n">
        <x:v>0</x:v>
      </x:c>
      <x:c r="F900" t="n">
        <x:v>0</x:v>
      </x:c>
      <x:c r="G900" s="10" t="n">
        <x:v>0</x:v>
      </x:c>
      <x:c r="H900" s="10" t="n">
        <x:v>0</x:v>
      </x:c>
      <x:c r="I900" t="n">
        <x:v>0</x:v>
      </x:c>
      <x:c r="J900" s="6" t="n">
        <x:v>0</x:v>
      </x:c>
    </x:row>
  </x:sheetData>
  <x:conditionalFormatting sqref="A2:J900">
    <x:cfRule type="expression" dxfId="1" priority="1">
      <x:formula>AND($C2&gt;=20,$E2=0)</x:formula>
    </x:cfRule>
  </x:conditionalFormatting>
  <x:pageMargins left="0.7" right="0.7" top="0.75" bottom="0.75" header="0.3" footer="0.3"/>
  <x:tableParts count="1">
    <x:tablePart xmlns:r="http://schemas.openxmlformats.org/officeDocument/2006/relationships" r:id="Rf24a5905d52945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2" hidden="0" customWidth="1"/>
    <x:col min="5" max="5" width="16" hidden="0" customWidth="1"/>
    <x:col min="6" max="6" width="10" hidden="0" customWidth="1"/>
    <x:col min="7" max="7" width="12" hidden="0" customWidth="1"/>
    <x:col min="8" max="8" width="10" hidden="0" customWidth="1"/>
    <x:col min="9" max="9" width="20" hidden="0" customWidth="1"/>
  </x:cols>
  <x:sheetData>
    <x:row r="1">
      <x:c r="A1" s="3" t="str">
        <x:v>Fecha</x:v>
      </x:c>
      <x:c r="B1" s="3" t="str">
        <x:v>Búsquedas</x:v>
      </x:c>
      <x:c r="C1" s="3" t="str">
        <x:v>Búsquedas únicas</x:v>
      </x:c>
      <x:c r="D1" s="3" t="str">
        <x:v>Clicks</x:v>
      </x:c>
      <x:c r="E1" s="3" t="str">
        <x:v>Clicks únicos</x:v>
      </x:c>
      <x:c r="F1" s="3" t="str">
        <x:v>CTR</x:v>
      </x:c>
      <x:c r="G1" s="3" t="str">
        <x:v>Conversión</x:v>
      </x:c>
      <x:c r="H1" s="3" t="str">
        <x:v>Órdenes</x:v>
      </x:c>
      <x:c r="I1" s="3" t="str">
        <x:v>Ventas atribuidas</x:v>
      </x:c>
    </x:row>
    <x:row r="2">
      <x:c r="A2" s="5" t="n">
        <x:v>46220</x:v>
      </x:c>
      <x:c r="B2" t="n">
        <x:v>529</x:v>
      </x:c>
      <x:c r="C2" t="n">
        <x:v>322</x:v>
      </x:c>
      <x:c r="D2" t="n">
        <x:v>172</x:v>
      </x:c>
      <x:c r="E2" t="n">
        <x:v>68</x:v>
      </x:c>
      <x:c r="F2" s="10" t="n">
        <x:v>0.3251</x:v>
      </x:c>
      <x:c r="G2" s="10" t="n">
        <x:v>0</x:v>
      </x:c>
      <x:c r="H2" t="n">
        <x:v>0</x:v>
      </x:c>
      <x:c r="I2" s="6" t="n">
        <x:v>0</x:v>
      </x:c>
    </x:row>
    <x:row r="3">
      <x:c r="A3" s="5" t="n">
        <x:v>46221</x:v>
      </x:c>
      <x:c r="B3" t="n">
        <x:v>413</x:v>
      </x:c>
      <x:c r="C3" t="n">
        <x:v>268</x:v>
      </x:c>
      <x:c r="D3" t="n">
        <x:v>136</x:v>
      </x:c>
      <x:c r="E3" t="n">
        <x:v>58</x:v>
      </x:c>
      <x:c r="F3" s="10" t="n">
        <x:v>0.3293</x:v>
      </x:c>
      <x:c r="G3" s="10" t="n">
        <x:v>0</x:v>
      </x:c>
      <x:c r="H3" t="n">
        <x:v>0</x:v>
      </x:c>
      <x:c r="I3" s="6" t="n">
        <x:v>0</x:v>
      </x:c>
    </x:row>
    <x:row r="4">
      <x:c r="A4" s="5" t="n">
        <x:v>46222</x:v>
      </x:c>
      <x:c r="B4" t="n">
        <x:v>356</x:v>
      </x:c>
      <x:c r="C4" t="n">
        <x:v>216</x:v>
      </x:c>
      <x:c r="D4" t="n">
        <x:v>170</x:v>
      </x:c>
      <x:c r="E4" t="n">
        <x:v>48</x:v>
      </x:c>
      <x:c r="F4" s="10" t="n">
        <x:v>0.4775</x:v>
      </x:c>
      <x:c r="G4" s="10" t="n">
        <x:v>0</x:v>
      </x:c>
      <x:c r="H4" t="n">
        <x:v>0</x:v>
      </x:c>
      <x:c r="I4" s="6" t="n">
        <x:v>0</x:v>
      </x:c>
    </x:row>
    <x:row r="5">
      <x:c r="A5" s="5" t="n">
        <x:v>46223</x:v>
      </x:c>
      <x:c r="B5" t="n">
        <x:v>692</x:v>
      </x:c>
      <x:c r="C5" t="n">
        <x:v>475</x:v>
      </x:c>
      <x:c r="D5" t="n">
        <x:v>241</x:v>
      </x:c>
      <x:c r="E5" t="n">
        <x:v>96</x:v>
      </x:c>
      <x:c r="F5" s="10" t="n">
        <x:v>0.3483</x:v>
      </x:c>
      <x:c r="G5" s="10" t="n">
        <x:v>0.0104</x:v>
      </x:c>
      <x:c r="H5" t="n">
        <x:v>1</x:v>
      </x:c>
      <x:c r="I5" s="6" t="n">
        <x:v>724860</x:v>
      </x:c>
    </x:row>
    <x:row r="6">
      <x:c r="A6" s="5" t="n">
        <x:v>46224</x:v>
      </x:c>
      <x:c r="B6" t="n">
        <x:v>709</x:v>
      </x:c>
      <x:c r="C6" t="n">
        <x:v>504</x:v>
      </x:c>
      <x:c r="D6" t="n">
        <x:v>257</x:v>
      </x:c>
      <x:c r="E6" t="n">
        <x:v>104</x:v>
      </x:c>
      <x:c r="F6" s="10" t="n">
        <x:v>0.3625</x:v>
      </x:c>
      <x:c r="G6" s="10" t="n">
        <x:v>0</x:v>
      </x:c>
      <x:c r="H6" t="n">
        <x:v>0</x:v>
      </x:c>
      <x:c r="I6" s="6" t="n">
        <x:v>0</x:v>
      </x:c>
    </x:row>
    <x:row r="7">
      <x:c r="A7" s="5" t="n">
        <x:v>46225</x:v>
      </x:c>
      <x:c r="B7" t="n">
        <x:v>595</x:v>
      </x:c>
      <x:c r="C7" t="n">
        <x:v>411</x:v>
      </x:c>
      <x:c r="D7" t="n">
        <x:v>167</x:v>
      </x:c>
      <x:c r="E7" t="n">
        <x:v>88</x:v>
      </x:c>
      <x:c r="F7" s="10" t="n">
        <x:v>0.2807</x:v>
      </x:c>
      <x:c r="G7" s="10" t="n">
        <x:v>0</x:v>
      </x:c>
      <x:c r="H7" t="n">
        <x:v>0</x:v>
      </x:c>
      <x:c r="I7" s="6" t="n">
        <x:v>0</x:v>
      </x:c>
    </x:row>
    <x:row r="8">
      <x:c r="A8" s="5" t="n">
        <x:v>46226</x:v>
      </x:c>
      <x:c r="B8" t="n">
        <x:v>638</x:v>
      </x:c>
      <x:c r="C8" t="n">
        <x:v>436</x:v>
      </x:c>
      <x:c r="D8" t="n">
        <x:v>259</x:v>
      </x:c>
      <x:c r="E8" t="n">
        <x:v>87</x:v>
      </x:c>
      <x:c r="F8" s="10" t="n">
        <x:v>0.406</x:v>
      </x:c>
      <x:c r="G8" s="10" t="n">
        <x:v>0.0115</x:v>
      </x:c>
      <x:c r="H8" t="n">
        <x:v>1</x:v>
      </x:c>
      <x:c r="I8" s="6" t="n">
        <x:v>929011.2</x:v>
      </x:c>
    </x:row>
    <x:row r="9">
      <x:c r="A9" s="5" t="n">
        <x:v>46227</x:v>
      </x:c>
      <x:c r="B9" t="n">
        <x:v>307</x:v>
      </x:c>
      <x:c r="C9" t="n">
        <x:v>205</x:v>
      </x:c>
      <x:c r="D9" t="n">
        <x:v>152</x:v>
      </x:c>
      <x:c r="E9" t="n">
        <x:v>43</x:v>
      </x:c>
      <x:c r="F9" s="10" t="n">
        <x:v>0.4951</x:v>
      </x:c>
      <x:c r="G9" s="10" t="n">
        <x:v>0</x:v>
      </x:c>
      <x:c r="H9" t="n">
        <x:v>0</x:v>
      </x:c>
      <x:c r="I9" s="6" t="n">
        <x:v>0</x:v>
      </x:c>
    </x:row>
  </x:sheetData>
  <x:pageMargins left="0.7" right="0.7" top="0.75" bottom="0.75" header="0.3" footer="0.3"/>
  <x:tableParts count="1">
    <x:tablePart xmlns:r="http://schemas.openxmlformats.org/officeDocument/2006/relationships" r:id="R4f1bc7ae03e54c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62" hidden="0" customWidth="1"/>
    <x:col min="3" max="3" width="18" hidden="0" customWidth="1"/>
    <x:col min="4" max="4" width="18" hidden="0" customWidth="1"/>
    <x:col min="5" max="5" width="18" hidden="0" customWidth="1"/>
    <x:col min="6" max="6" width="14" hidden="0" customWidth="1"/>
    <x:col min="7" max="7" width="14" hidden="0" customWidth="1"/>
    <x:col min="8" max="8" width="14" hidden="0" customWidth="1"/>
  </x:cols>
  <x:sheetData>
    <x:row r="1" ht="27" customHeight="1">
      <x:c r="A1" s="14" t="str">
        <x:v>CONTROLES, FUENTES Y SUPUESTOS</x:v>
      </x:c>
      <x:c r="B1" s="14"/>
      <x:c r="C1" s="14"/>
      <x:c r="D1" s="14"/>
      <x:c r="E1" s="14"/>
      <x:c r="F1" s="14"/>
      <x:c r="G1" s="14"/>
      <x:c r="H1" s="14"/>
    </x:row>
    <x:row r="2" ht="27" customHeight="1">
      <x:c r="A2" s="14"/>
      <x:c r="B2" s="14"/>
      <x:c r="C2" s="14"/>
      <x:c r="D2" s="14"/>
      <x:c r="E2" s="14"/>
      <x:c r="F2" s="14"/>
      <x:c r="G2" s="14"/>
      <x:c r="H2" s="14"/>
    </x:row>
    <x:row r="3" ht="22" customHeight="1">
      <x:c r="A3" s="18" t="str">
        <x:v>Reconciliación del reporte y límites de interpretación</x:v>
      </x:c>
      <x:c r="B3" s="18"/>
      <x:c r="C3" s="18"/>
      <x:c r="D3" s="18"/>
      <x:c r="E3" s="18"/>
      <x:c r="F3" s="18"/>
      <x:c r="G3" s="18"/>
      <x:c r="H3" s="18"/>
    </x:row>
    <x:row r="5">
      <x:c r="A5" s="2" t="str">
        <x:v>Campo</x:v>
      </x:c>
      <x:c r="B5" s="2" t="str">
        <x:v>Detalle</x:v>
      </x:c>
    </x:row>
    <x:row r="6">
      <x:c r="A6" t="str">
        <x:v>Archivo fuente</x:v>
      </x:c>
      <x:c r="B6" t="str">
        <x:v>Reporte Oline vtex (1) (2).xlsx</x:v>
      </x:c>
    </x:row>
    <x:row r="7">
      <x:c r="A7" t="str">
        <x:v>Período ventas</x:v>
      </x:c>
      <x:c r="B7" t="str">
        <x:v>31/07/2026 al 06/08/2026</x:v>
      </x:c>
    </x:row>
    <x:row r="8">
      <x:c r="A8" t="str">
        <x:v>Período búsquedas diarias</x:v>
      </x:c>
      <x:c r="B8" t="str">
        <x:v>17/07/2026 al 24/07/2026</x:v>
      </x:c>
    </x:row>
    <x:row r="9">
      <x:c r="A9" t="str">
        <x:v>Período tabla de términos</x:v>
      </x:c>
      <x:c r="B9" t="str">
        <x:v>No informado en el archivo</x:v>
      </x:c>
    </x:row>
    <x:row r="10">
      <x:c r="A10" t="str">
        <x:v>Actualización del informe</x:v>
      </x:c>
      <x:c r="B10" t="str">
        <x:v>14/08/2026</x:v>
      </x:c>
    </x:row>
    <x:row r="11">
      <x:c r="A11" t="str">
        <x:v>Criterio de servicios</x:v>
      </x:c>
      <x:c r="B11" t="str">
        <x:v>Se separan cantidades; no se distribuye el importe sin dato fuente</x:v>
      </x:c>
    </x:row>
    <x:row r="12">
      <x:c r="A12" t="str">
        <x:v>Criterio de combinación</x:v>
      </x:c>
      <x:c r="B12" t="str">
        <x:v>La operación Michelin Moto se divide en dos medidas, sin asignación de importe por cubierta</x:v>
      </x:c>
    </x:row>
    <x:row r="13">
      <x:c r="A13" t="str">
        <x:v>Clasificación de términos</x:v>
      </x:c>
      <x:c r="B13" t="str">
        <x:v>Regla analítica por patrón: producto/URL, medida, categoría, marca u otro</x:v>
      </x:c>
    </x:row>
    <x:row r="15">
      <x:c r="A15" s="2" t="str">
        <x:v>Control</x:v>
      </x:c>
      <x:c r="B15" s="2" t="str">
        <x:v>Fuente</x:v>
      </x:c>
      <x:c r="C15" s="2" t="str">
        <x:v>Resultado</x:v>
      </x:c>
      <x:c r="D15" s="2" t="str">
        <x:v>Delta</x:v>
      </x:c>
      <x:c r="E15" s="2" t="str">
        <x:v>Estado</x:v>
      </x:c>
    </x:row>
    <x:row r="16">
      <x:c r="A16" t="str">
        <x:v>Facturación ventas</x:v>
      </x:c>
      <x:c r="B16" s="6" t="n">
        <x:v>9886194.74</x:v>
      </x:c>
      <x:c r="C16" s="6" t="n">
        <x:f>SUM('Datos Ventas'!$D$2:$D$19)</x:f>
        <x:v>9886194.74</x:v>
      </x:c>
      <x:c r="D16" s="6" t="n">
        <x:f>C16-B16</x:f>
        <x:v>0</x:v>
      </x:c>
      <x:c r="E16" t="str">
        <x:f>IF(ABS(D16)&lt;0.01,"PASS","FAIL")</x:f>
        <x:v>PASS</x:v>
      </x:c>
    </x:row>
    <x:row r="17">
      <x:c r="A17" t="str">
        <x:v>Operaciones</x:v>
      </x:c>
      <x:c r="B17" t="n">
        <x:v>18</x:v>
      </x:c>
      <x:c r="C17" t="n">
        <x:f>COUNTA('Datos Ventas'!$A$2:$A$19)</x:f>
        <x:v>18</x:v>
      </x:c>
      <x:c r="D17" t="n">
        <x:f>C17-B17</x:f>
        <x:v>0</x:v>
      </x:c>
      <x:c r="E17" t="str">
        <x:f>IF(ABS(D17)&lt;0.01,"PASS","FAIL")</x:f>
        <x:v>PASS</x:v>
      </x:c>
    </x:row>
    <x:row r="18">
      <x:c r="A18" t="str">
        <x:v>Unidades neumáticos</x:v>
      </x:c>
      <x:c r="B18" t="n">
        <x:v>43</x:v>
      </x:c>
      <x:c r="C18" t="n">
        <x:f>SUM('Datos Ventas'!$J$2:$J$19)</x:f>
        <x:v>43</x:v>
      </x:c>
      <x:c r="D18" t="n">
        <x:f>C18-B18</x:f>
        <x:v>0</x:v>
      </x:c>
      <x:c r="E18" t="str">
        <x:f>IF(ABS(D18)&lt;0.01,"PASS","FAIL")</x:f>
        <x:v>PASS</x:v>
      </x:c>
    </x:row>
    <x:row r="19">
      <x:c r="A19" t="str">
        <x:v>Operaciones con servicios</x:v>
      </x:c>
      <x:c r="B19" t="n">
        <x:v>1</x:v>
      </x:c>
      <x:c r="C19" t="n">
        <x:f>COUNTIF('Datos Ventas'!$K$2:$K$19,"Neumáticos + servicios")</x:f>
        <x:v>1</x:v>
      </x:c>
      <x:c r="D19" t="n">
        <x:f>C19-B19</x:f>
        <x:v>0</x:v>
      </x:c>
      <x:c r="E19" t="str">
        <x:f>IF(ABS(D19)&lt;0.01,"PASS","FAIL")</x:f>
        <x:v>PASS</x:v>
      </x:c>
    </x:row>
    <x:row r="20">
      <x:c r="A20" t="str">
        <x:v>Unidades de servicio</x:v>
      </x:c>
      <x:c r="B20" t="n">
        <x:v>5</x:v>
      </x:c>
      <x:c r="C20" t="n">
        <x:f>SUM('Datos Ventas'!$M$2:$M$19)</x:f>
        <x:v>5</x:v>
      </x:c>
      <x:c r="D20" t="n">
        <x:f>C20-B20</x:f>
        <x:v>0</x:v>
      </x:c>
      <x:c r="E20" t="str">
        <x:f>IF(ABS(D20)&lt;0.01,"PASS","FAIL")</x:f>
        <x:v>PASS</x:v>
      </x:c>
    </x:row>
    <x:row r="21">
      <x:c r="A21" t="str">
        <x:v>Búsquedas bloque diario</x:v>
      </x:c>
      <x:c r="B21" t="n">
        <x:v>4239</x:v>
      </x:c>
      <x:c r="C21" t="n">
        <x:f>SUM('Datos Búsq. Día'!$B$2:$B$9)</x:f>
        <x:v>4239</x:v>
      </x:c>
      <x:c r="D21" t="n">
        <x:f>C21-B21</x:f>
        <x:v>0</x:v>
      </x:c>
      <x:c r="E21" t="str">
        <x:f>IF(ABS(D21)&lt;0.01,"PASS","FAIL")</x:f>
        <x:v>PASS</x:v>
      </x:c>
    </x:row>
    <x:row r="22">
      <x:c r="A22" t="str">
        <x:v>Ventas atribuidas bloque diario</x:v>
      </x:c>
      <x:c r="B22" s="6" t="n">
        <x:v>1653871.2</x:v>
      </x:c>
      <x:c r="C22" s="6" t="n">
        <x:f>SUM('Datos Búsq. Día'!$I$2:$I$9)</x:f>
        <x:v>1653871.2</x:v>
      </x:c>
      <x:c r="D22" s="6" t="n">
        <x:f>C22-B22</x:f>
        <x:v>0</x:v>
      </x:c>
      <x:c r="E22" t="str">
        <x:f>IF(ABS(D22)&lt;0.01,"PASS","FAIL")</x:f>
        <x:v>PASS</x:v>
      </x:c>
    </x:row>
    <x:row r="23">
      <x:c r="A23" t="str">
        <x:v>Búsquedas tabla por términos</x:v>
      </x:c>
      <x:c r="B23" t="n">
        <x:v>6849</x:v>
      </x:c>
      <x:c r="C23" t="n">
        <x:f>SUM('Datos Búsquedas'!$C$2:$C$900)</x:f>
        <x:v>6849</x:v>
      </x:c>
      <x:c r="D23" t="n">
        <x:f>C23-B23</x:f>
        <x:v>0</x:v>
      </x:c>
      <x:c r="E23" t="str">
        <x:f>IF(ABS(D23)&lt;0.01,"PASS","FAIL")</x:f>
        <x:v>PASS</x:v>
      </x:c>
    </x:row>
    <x:row r="25">
      <x:c r="A25" s="95" t="str">
        <x:v>MODEL STATUS</x:v>
      </x:c>
      <x:c r="B25" s="95"/>
      <x:c r="C25" s="98" t="str">
        <x:f>IF(COUNTIF(E16:E23,"FAIL")=0,"PASS","FAIL")</x:f>
        <x:v>PASS</x:v>
      </x:c>
      <x:c r="D25" s="98"/>
      <x:c r="E25" s="98"/>
    </x:row>
    <x:row r="26">
      <x:c r="A26" s="95"/>
      <x:c r="B26" s="95"/>
      <x:c r="C26" s="98"/>
      <x:c r="D26" s="98"/>
      <x:c r="E26" s="98"/>
    </x:row>
    <x:row r="28">
      <x:c r="A28" s="89" t="str">
        <x:v>Advertencia: el bloque diario de búsquedas suma 4.239 búsquedas, mientras que la tabla por términos suma 6.849. Como sus períodos y criterios no se explicitan de forma equivalente en el origen, ambos bloques se reportan por separado y la diferencia de 2.610 no se considera un error del modelo.</x:v>
      </x:c>
      <x:c r="B28" s="89"/>
      <x:c r="C28" s="89"/>
      <x:c r="D28" s="89"/>
      <x:c r="E28" s="89"/>
      <x:c r="F28" s="89"/>
      <x:c r="G28" s="89"/>
      <x:c r="H28" s="89"/>
    </x:row>
    <x:row r="29">
      <x:c r="A29" s="89"/>
      <x:c r="B29" s="89"/>
      <x:c r="C29" s="89"/>
      <x:c r="D29" s="89"/>
      <x:c r="E29" s="89"/>
      <x:c r="F29" s="89"/>
      <x:c r="G29" s="89"/>
      <x:c r="H29" s="89"/>
    </x:row>
    <x:row r="30">
      <x:c r="A30" s="89"/>
      <x:c r="B30" s="89"/>
      <x:c r="C30" s="89"/>
      <x:c r="D30" s="89"/>
      <x:c r="E30" s="89"/>
      <x:c r="F30" s="89"/>
      <x:c r="G30" s="89"/>
      <x:c r="H30" s="89"/>
    </x:row>
    <x:row r="31">
      <x:c r="A31" s="89"/>
      <x:c r="B31" s="89"/>
      <x:c r="C31" s="89"/>
      <x:c r="D31" s="89"/>
      <x:c r="E31" s="89"/>
      <x:c r="F31" s="89"/>
      <x:c r="G31" s="89"/>
      <x:c r="H31" s="89"/>
    </x:row>
  </x:sheetData>
  <x:mergeCells>
    <x:mergeCell ref="A1:H2"/>
    <x:mergeCell ref="A3:H3"/>
    <x:mergeCell ref="A25:B26"/>
    <x:mergeCell ref="C25:E26"/>
    <x:mergeCell ref="A28:H31"/>
  </x:mergeCells>
  <x:conditionalFormatting sqref="E16:E23">
    <x:cfRule type="containsText" dxfId="2" priority="1" operator="containsText" text="PASS"/>
    <x:cfRule type="containsText" dxfId="3" priority="2" operator="containsText" text="FAIL"/>
  </x:conditionalFormatting>
  <x:pageMargins left="0.7" right="0.7" top="0.75" bottom="0.75" header="0.3" footer="0.3"/>
</x:worksheet>
</file>